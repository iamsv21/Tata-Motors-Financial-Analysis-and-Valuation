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a0acfd5eb87c8/Desktop/"/>
    </mc:Choice>
  </mc:AlternateContent>
  <xr:revisionPtr revIDLastSave="3" documentId="13_ncr:1_{044C610E-A09C-472C-B2DA-1F1FA62F104F}" xr6:coauthVersionLast="47" xr6:coauthVersionMax="47" xr10:uidLastSave="{A3B1C046-2176-4525-A588-1B3DC5ADAB65}"/>
  <bookViews>
    <workbookView xWindow="3204" yWindow="3204" windowWidth="12420" windowHeight="8880" firstSheet="2" activeTab="2" xr2:uid="{D413A865-A1F8-45E0-B281-0BC6B86EB0ED}"/>
  </bookViews>
  <sheets>
    <sheet name="Data Sheet" sheetId="2" r:id="rId1"/>
    <sheet name="Cash Flow Data" sheetId="5" state="hidden" r:id="rId2"/>
    <sheet name="Historical FS" sheetId="4" r:id="rId3"/>
    <sheet name="Common Size Analysis" sheetId="3" r:id="rId4"/>
    <sheet name="Ratio Analysis" sheetId="6" r:id="rId5"/>
    <sheet name="Raw FS" sheetId="8" state="hidden" r:id="rId6"/>
    <sheet name="Forecasting" sheetId="7" r:id="rId7"/>
    <sheet name="Internsic Growth" sheetId="9" r:id="rId8"/>
    <sheet name="DCF" sheetId="10" r:id="rId9"/>
  </sheets>
  <definedNames>
    <definedName name="Balance_Sheet">'Historical FS'!$B$48:$M$67</definedName>
    <definedName name="Cash_Flow_Statements">'Historical FS'!$B$71</definedName>
    <definedName name="Cashflow_statement">'Historical FS'!$B$71:$M$108</definedName>
    <definedName name="Income_Statement">'Historical FS'!$B$5:$M$45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eta - Comps_033f981c-826e-4e3d-a893-66de5c8f7d7c" name="Beta - Comps" connection="Query - Beta - Comps"/>
          <x15:modelTable id="Beta - Regression_bbac7415-4754-4614-8fc5-c7a770e6afbd" name="Beta - Regression" connection="Query - Beta - Regression"/>
          <x15:modelTable id="WACC_e3a9241a-472d-4acc-8749-ff29dfbda262" name="WACC" connection="Query - WAC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J19" i="7"/>
  <c r="J18" i="4"/>
  <c r="C35" i="10"/>
  <c r="C33" i="10"/>
  <c r="C32" i="10"/>
  <c r="E10" i="10"/>
  <c r="F9" i="10"/>
  <c r="G9" i="10" l="1"/>
  <c r="H9" i="10" s="1"/>
  <c r="F10" i="10"/>
  <c r="G10" i="10" l="1"/>
  <c r="I9" i="10"/>
  <c r="I10" i="10" s="1"/>
  <c r="H10" i="10"/>
  <c r="E5" i="10"/>
  <c r="F5" i="10" s="1"/>
  <c r="G5" i="10" s="1"/>
  <c r="D4" i="10"/>
  <c r="E4" i="10" s="1"/>
  <c r="B35" i="2"/>
  <c r="K35" i="2"/>
  <c r="J35" i="2"/>
  <c r="I35" i="2"/>
  <c r="H35" i="2"/>
  <c r="G35" i="2"/>
  <c r="F35" i="2"/>
  <c r="E35" i="2"/>
  <c r="D35" i="2"/>
  <c r="C35" i="2"/>
  <c r="C34" i="2"/>
  <c r="K34" i="2"/>
  <c r="F4" i="10" l="1"/>
  <c r="E6" i="10"/>
  <c r="I5" i="10"/>
  <c r="H5" i="10"/>
  <c r="D6" i="10"/>
  <c r="K55" i="9"/>
  <c r="J55" i="9"/>
  <c r="I55" i="9"/>
  <c r="H55" i="9"/>
  <c r="G55" i="9"/>
  <c r="G48" i="9"/>
  <c r="K41" i="9"/>
  <c r="J41" i="9"/>
  <c r="I41" i="9"/>
  <c r="H41" i="9"/>
  <c r="G41" i="9"/>
  <c r="K39" i="9"/>
  <c r="J39" i="9"/>
  <c r="I39" i="9"/>
  <c r="H39" i="9"/>
  <c r="G39" i="9"/>
  <c r="K3" i="9"/>
  <c r="D2" i="10" s="1"/>
  <c r="E2" i="10" s="1"/>
  <c r="F2" i="10" s="1"/>
  <c r="G2" i="10" s="1"/>
  <c r="H2" i="10" s="1"/>
  <c r="I2" i="10" s="1"/>
  <c r="J3" i="9"/>
  <c r="I3" i="9"/>
  <c r="H3" i="9"/>
  <c r="G3" i="9"/>
  <c r="K31" i="9"/>
  <c r="J31" i="9"/>
  <c r="I31" i="9"/>
  <c r="H31" i="9"/>
  <c r="G31" i="9"/>
  <c r="K29" i="9"/>
  <c r="J29" i="9"/>
  <c r="I29" i="9"/>
  <c r="H29" i="9"/>
  <c r="G29" i="9"/>
  <c r="K28" i="9"/>
  <c r="J28" i="9"/>
  <c r="I28" i="9"/>
  <c r="H28" i="9"/>
  <c r="G28" i="9"/>
  <c r="K27" i="9"/>
  <c r="J27" i="9"/>
  <c r="I27" i="9"/>
  <c r="H27" i="9"/>
  <c r="G27" i="9"/>
  <c r="K26" i="9"/>
  <c r="J26" i="9"/>
  <c r="I26" i="9"/>
  <c r="H26" i="9"/>
  <c r="G26" i="9"/>
  <c r="K25" i="9"/>
  <c r="J25" i="9"/>
  <c r="I25" i="9"/>
  <c r="H25" i="9"/>
  <c r="G25" i="9"/>
  <c r="K24" i="9"/>
  <c r="J24" i="9"/>
  <c r="I24" i="9"/>
  <c r="H24" i="9"/>
  <c r="G24" i="9"/>
  <c r="K23" i="9"/>
  <c r="J23" i="9"/>
  <c r="I23" i="9"/>
  <c r="H23" i="9"/>
  <c r="G23" i="9"/>
  <c r="K22" i="9"/>
  <c r="J22" i="9"/>
  <c r="I22" i="9"/>
  <c r="H22" i="9"/>
  <c r="G22" i="9"/>
  <c r="B23" i="9"/>
  <c r="B24" i="9"/>
  <c r="B25" i="9"/>
  <c r="B26" i="9"/>
  <c r="B27" i="9"/>
  <c r="B28" i="9"/>
  <c r="B29" i="9"/>
  <c r="B22" i="9"/>
  <c r="K15" i="9"/>
  <c r="J15" i="9"/>
  <c r="I15" i="9"/>
  <c r="H15" i="9"/>
  <c r="G15" i="9"/>
  <c r="K14" i="9"/>
  <c r="J14" i="9"/>
  <c r="I14" i="9"/>
  <c r="H14" i="9"/>
  <c r="G14" i="9"/>
  <c r="K13" i="9"/>
  <c r="J13" i="9"/>
  <c r="I13" i="9"/>
  <c r="H13" i="9"/>
  <c r="G13" i="9"/>
  <c r="K9" i="9"/>
  <c r="J9" i="9"/>
  <c r="I9" i="9"/>
  <c r="H9" i="9"/>
  <c r="G9" i="9"/>
  <c r="K8" i="9"/>
  <c r="J8" i="9"/>
  <c r="I8" i="9"/>
  <c r="H8" i="9"/>
  <c r="G8" i="9"/>
  <c r="K7" i="9"/>
  <c r="J7" i="9"/>
  <c r="I7" i="9"/>
  <c r="H7" i="9"/>
  <c r="G7" i="9"/>
  <c r="K6" i="9"/>
  <c r="J6" i="9"/>
  <c r="I6" i="9"/>
  <c r="H6" i="9"/>
  <c r="G6" i="9"/>
  <c r="G4" i="10" l="1"/>
  <c r="F6" i="10"/>
  <c r="K30" i="9"/>
  <c r="K32" i="9" s="1"/>
  <c r="J30" i="9"/>
  <c r="J32" i="9" s="1"/>
  <c r="H30" i="9"/>
  <c r="H32" i="9" s="1"/>
  <c r="K16" i="9"/>
  <c r="I30" i="9"/>
  <c r="I32" i="9" s="1"/>
  <c r="G30" i="9"/>
  <c r="G32" i="9" s="1"/>
  <c r="G10" i="9"/>
  <c r="I10" i="9"/>
  <c r="J16" i="9"/>
  <c r="H10" i="9"/>
  <c r="I16" i="9"/>
  <c r="J10" i="9"/>
  <c r="K10" i="9"/>
  <c r="G16" i="9"/>
  <c r="H16" i="9"/>
  <c r="N29" i="8"/>
  <c r="M29" i="8"/>
  <c r="L29" i="8"/>
  <c r="K29" i="8"/>
  <c r="J29" i="8"/>
  <c r="I29" i="8"/>
  <c r="H29" i="8"/>
  <c r="G29" i="8"/>
  <c r="F29" i="8"/>
  <c r="E29" i="8"/>
  <c r="D29" i="8"/>
  <c r="C29" i="8"/>
  <c r="L39" i="3"/>
  <c r="K39" i="3"/>
  <c r="J39" i="3"/>
  <c r="I39" i="3"/>
  <c r="H39" i="3"/>
  <c r="G39" i="3"/>
  <c r="F39" i="3"/>
  <c r="E39" i="3"/>
  <c r="D39" i="3"/>
  <c r="J34" i="2"/>
  <c r="I34" i="2"/>
  <c r="H34" i="2"/>
  <c r="G34" i="2"/>
  <c r="F34" i="2"/>
  <c r="E34" i="2"/>
  <c r="D34" i="2"/>
  <c r="B34" i="2"/>
  <c r="C39" i="3" s="1"/>
  <c r="C21" i="3"/>
  <c r="C26" i="3"/>
  <c r="L38" i="3"/>
  <c r="K38" i="3"/>
  <c r="J38" i="3"/>
  <c r="I38" i="3"/>
  <c r="H38" i="3"/>
  <c r="G38" i="3"/>
  <c r="F38" i="3"/>
  <c r="E38" i="3"/>
  <c r="D38" i="3"/>
  <c r="L37" i="3"/>
  <c r="K37" i="3"/>
  <c r="J37" i="3"/>
  <c r="I37" i="3"/>
  <c r="H37" i="3"/>
  <c r="G37" i="3"/>
  <c r="F37" i="3"/>
  <c r="E37" i="3"/>
  <c r="D37" i="3"/>
  <c r="L36" i="3"/>
  <c r="K36" i="3"/>
  <c r="J36" i="3"/>
  <c r="I36" i="3"/>
  <c r="H36" i="3"/>
  <c r="G36" i="3"/>
  <c r="F36" i="3"/>
  <c r="E36" i="3"/>
  <c r="D36" i="3"/>
  <c r="L35" i="3"/>
  <c r="K35" i="3"/>
  <c r="J35" i="3"/>
  <c r="I35" i="3"/>
  <c r="H35" i="3"/>
  <c r="G35" i="3"/>
  <c r="F35" i="3"/>
  <c r="E35" i="3"/>
  <c r="D35" i="3"/>
  <c r="L34" i="3"/>
  <c r="K34" i="3"/>
  <c r="J34" i="3"/>
  <c r="I34" i="3"/>
  <c r="H34" i="3"/>
  <c r="G34" i="3"/>
  <c r="F34" i="3"/>
  <c r="E34" i="3"/>
  <c r="D34" i="3"/>
  <c r="L33" i="3"/>
  <c r="K33" i="3"/>
  <c r="J33" i="3"/>
  <c r="I33" i="3"/>
  <c r="H33" i="3"/>
  <c r="G33" i="3"/>
  <c r="F33" i="3"/>
  <c r="E33" i="3"/>
  <c r="D33" i="3"/>
  <c r="L32" i="3"/>
  <c r="K32" i="3"/>
  <c r="J32" i="3"/>
  <c r="I32" i="3"/>
  <c r="H32" i="3"/>
  <c r="G32" i="3"/>
  <c r="F32" i="3"/>
  <c r="E32" i="3"/>
  <c r="D32" i="3"/>
  <c r="L31" i="3"/>
  <c r="K31" i="3"/>
  <c r="J31" i="3"/>
  <c r="I31" i="3"/>
  <c r="H31" i="3"/>
  <c r="G31" i="3"/>
  <c r="F31" i="3"/>
  <c r="E31" i="3"/>
  <c r="D31" i="3"/>
  <c r="L30" i="3"/>
  <c r="K30" i="3"/>
  <c r="J30" i="3"/>
  <c r="I30" i="3"/>
  <c r="H30" i="3"/>
  <c r="G30" i="3"/>
  <c r="F30" i="3"/>
  <c r="E30" i="3"/>
  <c r="D30" i="3"/>
  <c r="C38" i="3"/>
  <c r="C37" i="3"/>
  <c r="C36" i="3"/>
  <c r="C35" i="3"/>
  <c r="C34" i="3"/>
  <c r="C33" i="3"/>
  <c r="C32" i="3"/>
  <c r="C31" i="3"/>
  <c r="C30" i="3"/>
  <c r="L29" i="3"/>
  <c r="K29" i="3"/>
  <c r="J29" i="3"/>
  <c r="I29" i="3"/>
  <c r="H29" i="3"/>
  <c r="G29" i="3"/>
  <c r="F29" i="3"/>
  <c r="E29" i="3"/>
  <c r="D29" i="3"/>
  <c r="C29" i="3"/>
  <c r="L28" i="3"/>
  <c r="K28" i="3"/>
  <c r="J28" i="3"/>
  <c r="I28" i="3"/>
  <c r="H28" i="3"/>
  <c r="G28" i="3"/>
  <c r="F28" i="3"/>
  <c r="E28" i="3"/>
  <c r="D28" i="3"/>
  <c r="C28" i="3"/>
  <c r="L27" i="3"/>
  <c r="K27" i="3"/>
  <c r="J27" i="3"/>
  <c r="I27" i="3"/>
  <c r="H27" i="3"/>
  <c r="G27" i="3"/>
  <c r="F27" i="3"/>
  <c r="E27" i="3"/>
  <c r="D27" i="3"/>
  <c r="C27" i="3"/>
  <c r="L26" i="3"/>
  <c r="K26" i="3"/>
  <c r="J26" i="3"/>
  <c r="I26" i="3"/>
  <c r="H26" i="3"/>
  <c r="G26" i="3"/>
  <c r="F26" i="3"/>
  <c r="E26" i="3"/>
  <c r="D26" i="3"/>
  <c r="L25" i="3"/>
  <c r="K25" i="3"/>
  <c r="J25" i="3"/>
  <c r="I25" i="3"/>
  <c r="H25" i="3"/>
  <c r="G25" i="3"/>
  <c r="F25" i="3"/>
  <c r="E25" i="3"/>
  <c r="D25" i="3"/>
  <c r="C25" i="3"/>
  <c r="C6" i="3"/>
  <c r="L20" i="3"/>
  <c r="K20" i="3"/>
  <c r="J20" i="3"/>
  <c r="I20" i="3"/>
  <c r="H20" i="3"/>
  <c r="G20" i="3"/>
  <c r="F20" i="3"/>
  <c r="E20" i="3"/>
  <c r="D20" i="3"/>
  <c r="C20" i="3"/>
  <c r="L18" i="3"/>
  <c r="K18" i="3"/>
  <c r="J18" i="3"/>
  <c r="I18" i="3"/>
  <c r="H18" i="3"/>
  <c r="G18" i="3"/>
  <c r="F18" i="3"/>
  <c r="E18" i="3"/>
  <c r="D18" i="3"/>
  <c r="C18" i="3"/>
  <c r="L17" i="3"/>
  <c r="K17" i="3"/>
  <c r="J17" i="3"/>
  <c r="I17" i="3"/>
  <c r="H17" i="3"/>
  <c r="G17" i="3"/>
  <c r="F17" i="3"/>
  <c r="E17" i="3"/>
  <c r="D17" i="3"/>
  <c r="C17" i="3"/>
  <c r="L16" i="3"/>
  <c r="K16" i="3"/>
  <c r="J16" i="3"/>
  <c r="I16" i="3"/>
  <c r="H16" i="3"/>
  <c r="G16" i="3"/>
  <c r="F16" i="3"/>
  <c r="E16" i="3"/>
  <c r="D16" i="3"/>
  <c r="C16" i="3"/>
  <c r="L15" i="3"/>
  <c r="K15" i="3"/>
  <c r="J15" i="3"/>
  <c r="I15" i="3"/>
  <c r="H15" i="3"/>
  <c r="G15" i="3"/>
  <c r="F15" i="3"/>
  <c r="E15" i="3"/>
  <c r="D15" i="3"/>
  <c r="C15" i="3"/>
  <c r="K74" i="2"/>
  <c r="L19" i="3" s="1"/>
  <c r="J74" i="2"/>
  <c r="K19" i="3" s="1"/>
  <c r="I74" i="2"/>
  <c r="J19" i="3" s="1"/>
  <c r="H74" i="2"/>
  <c r="I19" i="3" s="1"/>
  <c r="G74" i="2"/>
  <c r="H19" i="3" s="1"/>
  <c r="C74" i="2"/>
  <c r="D19" i="3" s="1"/>
  <c r="K73" i="2"/>
  <c r="J73" i="2"/>
  <c r="I73" i="2"/>
  <c r="H73" i="2"/>
  <c r="G73" i="2"/>
  <c r="F73" i="2"/>
  <c r="F74" i="2" s="1"/>
  <c r="G19" i="3" s="1"/>
  <c r="E73" i="2"/>
  <c r="E74" i="2" s="1"/>
  <c r="F19" i="3" s="1"/>
  <c r="D73" i="2"/>
  <c r="D74" i="2" s="1"/>
  <c r="E19" i="3" s="1"/>
  <c r="C73" i="2"/>
  <c r="B73" i="2"/>
  <c r="B74" i="2" s="1"/>
  <c r="C19" i="3" s="1"/>
  <c r="L14" i="3"/>
  <c r="K14" i="3"/>
  <c r="J14" i="3"/>
  <c r="I14" i="3"/>
  <c r="H14" i="3"/>
  <c r="G14" i="3"/>
  <c r="F14" i="3"/>
  <c r="E14" i="3"/>
  <c r="D14" i="3"/>
  <c r="C14" i="3"/>
  <c r="L11" i="3"/>
  <c r="K11" i="3"/>
  <c r="J11" i="3"/>
  <c r="I11" i="3"/>
  <c r="H11" i="3"/>
  <c r="G11" i="3"/>
  <c r="F11" i="3"/>
  <c r="E11" i="3"/>
  <c r="D11" i="3"/>
  <c r="C11" i="3"/>
  <c r="L10" i="3"/>
  <c r="K10" i="3"/>
  <c r="J10" i="3"/>
  <c r="I10" i="3"/>
  <c r="H10" i="3"/>
  <c r="G10" i="3"/>
  <c r="F10" i="3"/>
  <c r="E10" i="3"/>
  <c r="D10" i="3"/>
  <c r="C10" i="3"/>
  <c r="L9" i="3"/>
  <c r="K9" i="3"/>
  <c r="J9" i="3"/>
  <c r="I9" i="3"/>
  <c r="H9" i="3"/>
  <c r="G9" i="3"/>
  <c r="F9" i="3"/>
  <c r="E9" i="3"/>
  <c r="D9" i="3"/>
  <c r="C9" i="3"/>
  <c r="D8" i="3"/>
  <c r="L8" i="3"/>
  <c r="K8" i="3"/>
  <c r="J8" i="3"/>
  <c r="I8" i="3"/>
  <c r="H8" i="3"/>
  <c r="G8" i="3"/>
  <c r="F8" i="3"/>
  <c r="E8" i="3"/>
  <c r="C8" i="3"/>
  <c r="L6" i="3"/>
  <c r="K6" i="3"/>
  <c r="J6" i="3"/>
  <c r="I6" i="3"/>
  <c r="H6" i="3"/>
  <c r="G6" i="3"/>
  <c r="F6" i="3"/>
  <c r="E6" i="3"/>
  <c r="D6" i="3"/>
  <c r="B2" i="3"/>
  <c r="L3" i="7"/>
  <c r="L6" i="7"/>
  <c r="L7" i="7" s="1"/>
  <c r="L8" i="7" s="1"/>
  <c r="L9" i="7" s="1"/>
  <c r="L10" i="7" s="1"/>
  <c r="L11" i="7" s="1"/>
  <c r="L12" i="7" s="1"/>
  <c r="L13" i="7" s="1"/>
  <c r="L14" i="7" s="1"/>
  <c r="L15" i="7" s="1"/>
  <c r="M5" i="7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G3" i="7"/>
  <c r="B3" i="7"/>
  <c r="H5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C5" i="7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G6" i="7"/>
  <c r="G7" i="7" s="1"/>
  <c r="G8" i="7" s="1"/>
  <c r="G9" i="7" s="1"/>
  <c r="G10" i="7" s="1"/>
  <c r="G11" i="7" s="1"/>
  <c r="G12" i="7" s="1"/>
  <c r="G13" i="7" s="1"/>
  <c r="G14" i="7" s="1"/>
  <c r="G15" i="7" s="1"/>
  <c r="D5" i="7" a="1"/>
  <c r="D6" i="7" s="1"/>
  <c r="B6" i="7"/>
  <c r="B7" i="7" s="1"/>
  <c r="B8" i="7" s="1"/>
  <c r="B9" i="7" s="1"/>
  <c r="B10" i="7" s="1"/>
  <c r="B11" i="7" s="1"/>
  <c r="B12" i="7" s="1"/>
  <c r="B13" i="7" s="1"/>
  <c r="B14" i="7" s="1"/>
  <c r="K18" i="9" l="1"/>
  <c r="K34" i="9"/>
  <c r="H4" i="10"/>
  <c r="G6" i="10"/>
  <c r="D8" i="7"/>
  <c r="I18" i="9"/>
  <c r="H18" i="9"/>
  <c r="J18" i="9"/>
  <c r="J42" i="9" s="1"/>
  <c r="J48" i="9" s="1"/>
  <c r="G18" i="9"/>
  <c r="G34" i="9" s="1"/>
  <c r="E21" i="3"/>
  <c r="K21" i="3"/>
  <c r="H21" i="3"/>
  <c r="I21" i="3"/>
  <c r="F21" i="3"/>
  <c r="L21" i="3"/>
  <c r="G21" i="3"/>
  <c r="D21" i="3"/>
  <c r="J21" i="3"/>
  <c r="I12" i="3"/>
  <c r="J12" i="3"/>
  <c r="L12" i="3"/>
  <c r="D12" i="3"/>
  <c r="K12" i="3"/>
  <c r="G12" i="3"/>
  <c r="C12" i="3"/>
  <c r="E12" i="3"/>
  <c r="F12" i="3"/>
  <c r="H12" i="3"/>
  <c r="L16" i="7"/>
  <c r="D7" i="7"/>
  <c r="E7" i="7" s="1"/>
  <c r="D5" i="7"/>
  <c r="E6" i="7" s="1"/>
  <c r="D11" i="7"/>
  <c r="B15" i="7"/>
  <c r="G16" i="7"/>
  <c r="D14" i="7"/>
  <c r="D13" i="7"/>
  <c r="D10" i="7"/>
  <c r="D9" i="7"/>
  <c r="E9" i="7" s="1"/>
  <c r="D12" i="7"/>
  <c r="I42" i="9" l="1"/>
  <c r="I48" i="9" s="1"/>
  <c r="I4" i="10"/>
  <c r="I6" i="10" s="1"/>
  <c r="I8" i="10" s="1"/>
  <c r="H6" i="10"/>
  <c r="E13" i="7"/>
  <c r="H42" i="9"/>
  <c r="H48" i="9" s="1"/>
  <c r="J34" i="9"/>
  <c r="H34" i="9"/>
  <c r="K42" i="9"/>
  <c r="K48" i="9" s="1"/>
  <c r="I34" i="9"/>
  <c r="L17" i="7"/>
  <c r="D15" i="7"/>
  <c r="E15" i="7" s="1"/>
  <c r="E11" i="7"/>
  <c r="E10" i="7"/>
  <c r="E14" i="7"/>
  <c r="B16" i="7"/>
  <c r="E12" i="7"/>
  <c r="E8" i="7"/>
  <c r="G17" i="7"/>
  <c r="I12" i="10" l="1"/>
  <c r="C20" i="10"/>
  <c r="C24" i="10" s="1"/>
  <c r="C29" i="10" s="1"/>
  <c r="L18" i="7"/>
  <c r="B17" i="7"/>
  <c r="D16" i="7"/>
  <c r="E16" i="7" s="1"/>
  <c r="G18" i="7"/>
  <c r="L19" i="7" l="1"/>
  <c r="B18" i="7"/>
  <c r="D17" i="7"/>
  <c r="E17" i="7" s="1"/>
  <c r="G19" i="7"/>
  <c r="B19" i="7" l="1"/>
  <c r="D19" i="7" s="1"/>
  <c r="D18" i="7"/>
  <c r="E18" i="7" s="1"/>
  <c r="C9" i="4"/>
  <c r="E19" i="7" l="1"/>
  <c r="B2" i="6"/>
  <c r="L3" i="6"/>
  <c r="K3" i="6"/>
  <c r="J3" i="6"/>
  <c r="I3" i="6"/>
  <c r="H3" i="6"/>
  <c r="G3" i="6"/>
  <c r="F3" i="6"/>
  <c r="E3" i="6"/>
  <c r="D3" i="6"/>
  <c r="C3" i="6"/>
  <c r="H9" i="4"/>
  <c r="L108" i="4"/>
  <c r="K108" i="4"/>
  <c r="J108" i="4"/>
  <c r="I108" i="4"/>
  <c r="H108" i="4"/>
  <c r="G108" i="4"/>
  <c r="F108" i="4"/>
  <c r="E108" i="4"/>
  <c r="D108" i="4"/>
  <c r="C108" i="4"/>
  <c r="L106" i="4"/>
  <c r="K106" i="4"/>
  <c r="J106" i="4"/>
  <c r="I106" i="4"/>
  <c r="H106" i="4"/>
  <c r="G106" i="4"/>
  <c r="F106" i="4"/>
  <c r="E106" i="4"/>
  <c r="D106" i="4"/>
  <c r="C106" i="4"/>
  <c r="L105" i="4"/>
  <c r="K105" i="4"/>
  <c r="J105" i="4"/>
  <c r="I105" i="4"/>
  <c r="H105" i="4"/>
  <c r="G105" i="4"/>
  <c r="F105" i="4"/>
  <c r="E105" i="4"/>
  <c r="D105" i="4"/>
  <c r="C105" i="4"/>
  <c r="L104" i="4"/>
  <c r="K104" i="4"/>
  <c r="J104" i="4"/>
  <c r="I104" i="4"/>
  <c r="H104" i="4"/>
  <c r="G104" i="4"/>
  <c r="F104" i="4"/>
  <c r="E104" i="4"/>
  <c r="D104" i="4"/>
  <c r="C104" i="4"/>
  <c r="L103" i="4"/>
  <c r="K103" i="4"/>
  <c r="J103" i="4"/>
  <c r="I103" i="4"/>
  <c r="H103" i="4"/>
  <c r="G103" i="4"/>
  <c r="F103" i="4"/>
  <c r="E103" i="4"/>
  <c r="D103" i="4"/>
  <c r="C103" i="4"/>
  <c r="L102" i="4"/>
  <c r="K102" i="4"/>
  <c r="J102" i="4"/>
  <c r="I102" i="4"/>
  <c r="H102" i="4"/>
  <c r="G102" i="4"/>
  <c r="F102" i="4"/>
  <c r="E102" i="4"/>
  <c r="D102" i="4"/>
  <c r="C102" i="4"/>
  <c r="L101" i="4"/>
  <c r="K101" i="4"/>
  <c r="J101" i="4"/>
  <c r="I101" i="4"/>
  <c r="H101" i="4"/>
  <c r="G101" i="4"/>
  <c r="F101" i="4"/>
  <c r="E101" i="4"/>
  <c r="D101" i="4"/>
  <c r="C101" i="4"/>
  <c r="L100" i="4"/>
  <c r="K100" i="4"/>
  <c r="J100" i="4"/>
  <c r="I100" i="4"/>
  <c r="H100" i="4"/>
  <c r="G100" i="4"/>
  <c r="F100" i="4"/>
  <c r="E100" i="4"/>
  <c r="D100" i="4"/>
  <c r="C100" i="4"/>
  <c r="L99" i="4"/>
  <c r="K99" i="4"/>
  <c r="J99" i="4"/>
  <c r="I99" i="4"/>
  <c r="H99" i="4"/>
  <c r="G99" i="4"/>
  <c r="F99" i="4"/>
  <c r="E99" i="4"/>
  <c r="D99" i="4"/>
  <c r="C99" i="4"/>
  <c r="L98" i="4"/>
  <c r="K98" i="4"/>
  <c r="J98" i="4"/>
  <c r="I98" i="4"/>
  <c r="H98" i="4"/>
  <c r="G98" i="4"/>
  <c r="F98" i="4"/>
  <c r="E98" i="4"/>
  <c r="D98" i="4"/>
  <c r="C98" i="4"/>
  <c r="L95" i="4"/>
  <c r="K95" i="4"/>
  <c r="J95" i="4"/>
  <c r="I95" i="4"/>
  <c r="H95" i="4"/>
  <c r="G95" i="4"/>
  <c r="F95" i="4"/>
  <c r="E95" i="4"/>
  <c r="D95" i="4"/>
  <c r="C95" i="4"/>
  <c r="L81" i="4"/>
  <c r="K81" i="4"/>
  <c r="J81" i="4"/>
  <c r="I81" i="4"/>
  <c r="H81" i="4"/>
  <c r="G81" i="4"/>
  <c r="F81" i="4"/>
  <c r="E81" i="4"/>
  <c r="D81" i="4"/>
  <c r="C81" i="4"/>
  <c r="L94" i="4"/>
  <c r="K94" i="4"/>
  <c r="J94" i="4"/>
  <c r="I94" i="4"/>
  <c r="H94" i="4"/>
  <c r="G94" i="4"/>
  <c r="F94" i="4"/>
  <c r="E94" i="4"/>
  <c r="D94" i="4"/>
  <c r="C94" i="4"/>
  <c r="L93" i="4"/>
  <c r="K93" i="4"/>
  <c r="J93" i="4"/>
  <c r="I93" i="4"/>
  <c r="H93" i="4"/>
  <c r="G93" i="4"/>
  <c r="F93" i="4"/>
  <c r="E93" i="4"/>
  <c r="D93" i="4"/>
  <c r="C93" i="4"/>
  <c r="L92" i="4"/>
  <c r="K92" i="4"/>
  <c r="J92" i="4"/>
  <c r="I92" i="4"/>
  <c r="H92" i="4"/>
  <c r="G92" i="4"/>
  <c r="F92" i="4"/>
  <c r="E92" i="4"/>
  <c r="D92" i="4"/>
  <c r="C92" i="4"/>
  <c r="L91" i="4"/>
  <c r="K91" i="4"/>
  <c r="J91" i="4"/>
  <c r="I91" i="4"/>
  <c r="H91" i="4"/>
  <c r="G91" i="4"/>
  <c r="F91" i="4"/>
  <c r="E91" i="4"/>
  <c r="D91" i="4"/>
  <c r="C91" i="4"/>
  <c r="L90" i="4"/>
  <c r="K90" i="4"/>
  <c r="J90" i="4"/>
  <c r="I90" i="4"/>
  <c r="H90" i="4"/>
  <c r="G90" i="4"/>
  <c r="F90" i="4"/>
  <c r="E90" i="4"/>
  <c r="D90" i="4"/>
  <c r="C90" i="4"/>
  <c r="L89" i="4"/>
  <c r="K89" i="4"/>
  <c r="J89" i="4"/>
  <c r="I89" i="4"/>
  <c r="H89" i="4"/>
  <c r="G89" i="4"/>
  <c r="F89" i="4"/>
  <c r="E89" i="4"/>
  <c r="D89" i="4"/>
  <c r="C89" i="4"/>
  <c r="L88" i="4"/>
  <c r="K88" i="4"/>
  <c r="J88" i="4"/>
  <c r="I88" i="4"/>
  <c r="H88" i="4"/>
  <c r="G88" i="4"/>
  <c r="F88" i="4"/>
  <c r="E88" i="4"/>
  <c r="D88" i="4"/>
  <c r="C88" i="4"/>
  <c r="L87" i="4"/>
  <c r="K87" i="4"/>
  <c r="J87" i="4"/>
  <c r="I87" i="4"/>
  <c r="H87" i="4"/>
  <c r="G87" i="4"/>
  <c r="F87" i="4"/>
  <c r="E87" i="4"/>
  <c r="D87" i="4"/>
  <c r="C87" i="4"/>
  <c r="L86" i="4"/>
  <c r="K86" i="4"/>
  <c r="J86" i="4"/>
  <c r="I86" i="4"/>
  <c r="H86" i="4"/>
  <c r="G86" i="4"/>
  <c r="F86" i="4"/>
  <c r="E86" i="4"/>
  <c r="D86" i="4"/>
  <c r="C86" i="4"/>
  <c r="L85" i="4"/>
  <c r="K85" i="4"/>
  <c r="J85" i="4"/>
  <c r="I85" i="4"/>
  <c r="H85" i="4"/>
  <c r="G85" i="4"/>
  <c r="F85" i="4"/>
  <c r="E85" i="4"/>
  <c r="D85" i="4"/>
  <c r="C85" i="4"/>
  <c r="L84" i="4"/>
  <c r="K84" i="4"/>
  <c r="J84" i="4"/>
  <c r="I84" i="4"/>
  <c r="H84" i="4"/>
  <c r="G84" i="4"/>
  <c r="F84" i="4"/>
  <c r="E84" i="4"/>
  <c r="D84" i="4"/>
  <c r="C84" i="4"/>
  <c r="L80" i="4"/>
  <c r="K80" i="4"/>
  <c r="J80" i="4"/>
  <c r="I80" i="4"/>
  <c r="H80" i="4"/>
  <c r="G80" i="4"/>
  <c r="F80" i="4"/>
  <c r="E80" i="4"/>
  <c r="D80" i="4"/>
  <c r="L79" i="4"/>
  <c r="K79" i="4"/>
  <c r="J79" i="4"/>
  <c r="I79" i="4"/>
  <c r="H79" i="4"/>
  <c r="G79" i="4"/>
  <c r="F79" i="4"/>
  <c r="E79" i="4"/>
  <c r="D79" i="4"/>
  <c r="L78" i="4"/>
  <c r="K78" i="4"/>
  <c r="J78" i="4"/>
  <c r="I78" i="4"/>
  <c r="H78" i="4"/>
  <c r="G78" i="4"/>
  <c r="F78" i="4"/>
  <c r="E78" i="4"/>
  <c r="D78" i="4"/>
  <c r="L77" i="4"/>
  <c r="K77" i="4"/>
  <c r="J77" i="4"/>
  <c r="I77" i="4"/>
  <c r="H77" i="4"/>
  <c r="G77" i="4"/>
  <c r="F77" i="4"/>
  <c r="E77" i="4"/>
  <c r="D77" i="4"/>
  <c r="L76" i="4"/>
  <c r="K76" i="4"/>
  <c r="J76" i="4"/>
  <c r="I76" i="4"/>
  <c r="H76" i="4"/>
  <c r="G76" i="4"/>
  <c r="F76" i="4"/>
  <c r="E76" i="4"/>
  <c r="D76" i="4"/>
  <c r="L75" i="4"/>
  <c r="K75" i="4"/>
  <c r="J75" i="4"/>
  <c r="I75" i="4"/>
  <c r="H75" i="4"/>
  <c r="G75" i="4"/>
  <c r="F75" i="4"/>
  <c r="E75" i="4"/>
  <c r="D75" i="4"/>
  <c r="L74" i="4"/>
  <c r="K74" i="4"/>
  <c r="J74" i="4"/>
  <c r="I74" i="4"/>
  <c r="H74" i="4"/>
  <c r="G74" i="4"/>
  <c r="F74" i="4"/>
  <c r="E74" i="4"/>
  <c r="D74" i="4"/>
  <c r="L73" i="4"/>
  <c r="K73" i="4"/>
  <c r="J73" i="4"/>
  <c r="I73" i="4"/>
  <c r="H73" i="4"/>
  <c r="G73" i="4"/>
  <c r="F73" i="4"/>
  <c r="E73" i="4"/>
  <c r="D73" i="4"/>
  <c r="C80" i="4"/>
  <c r="C79" i="4"/>
  <c r="C78" i="4"/>
  <c r="C77" i="4"/>
  <c r="C76" i="4"/>
  <c r="C75" i="4"/>
  <c r="C74" i="4"/>
  <c r="C73" i="4"/>
  <c r="L59" i="4" l="1"/>
  <c r="K59" i="4"/>
  <c r="J59" i="4"/>
  <c r="I59" i="4"/>
  <c r="H59" i="4"/>
  <c r="G59" i="4"/>
  <c r="F59" i="4"/>
  <c r="E59" i="4"/>
  <c r="D59" i="4"/>
  <c r="C59" i="4"/>
  <c r="K65" i="4"/>
  <c r="J65" i="4"/>
  <c r="I65" i="4"/>
  <c r="H65" i="4"/>
  <c r="G65" i="4"/>
  <c r="F65" i="4"/>
  <c r="L64" i="4"/>
  <c r="K64" i="4"/>
  <c r="J64" i="4"/>
  <c r="I64" i="4"/>
  <c r="H64" i="4"/>
  <c r="G64" i="4"/>
  <c r="F64" i="4"/>
  <c r="E64" i="4"/>
  <c r="D64" i="4"/>
  <c r="C64" i="4"/>
  <c r="L63" i="4"/>
  <c r="K63" i="4"/>
  <c r="J63" i="4"/>
  <c r="I63" i="4"/>
  <c r="H63" i="4"/>
  <c r="H31" i="6" s="1"/>
  <c r="H38" i="6" s="1"/>
  <c r="G63" i="4"/>
  <c r="F63" i="4"/>
  <c r="E63" i="4"/>
  <c r="D63" i="4"/>
  <c r="C63" i="4"/>
  <c r="C31" i="6" s="1"/>
  <c r="L62" i="4"/>
  <c r="L65" i="4" s="1"/>
  <c r="K62" i="4"/>
  <c r="J62" i="4"/>
  <c r="I62" i="4"/>
  <c r="H62" i="4"/>
  <c r="G62" i="4"/>
  <c r="F62" i="4"/>
  <c r="E62" i="4"/>
  <c r="E65" i="4" s="1"/>
  <c r="D62" i="4"/>
  <c r="D65" i="4" s="1"/>
  <c r="C62" i="4"/>
  <c r="C65" i="4" s="1"/>
  <c r="L58" i="4"/>
  <c r="L60" i="4" s="1"/>
  <c r="L67" i="4" s="1"/>
  <c r="L42" i="6" s="1"/>
  <c r="K58" i="4"/>
  <c r="K60" i="4" s="1"/>
  <c r="K67" i="4" s="1"/>
  <c r="K42" i="6" s="1"/>
  <c r="J58" i="4"/>
  <c r="J60" i="4" s="1"/>
  <c r="J67" i="4" s="1"/>
  <c r="J42" i="6" s="1"/>
  <c r="I58" i="4"/>
  <c r="H58" i="4"/>
  <c r="G58" i="4"/>
  <c r="F58" i="4"/>
  <c r="E58" i="4"/>
  <c r="E60" i="4" s="1"/>
  <c r="D58" i="4"/>
  <c r="D60" i="4" s="1"/>
  <c r="C58" i="4"/>
  <c r="C60" i="4" s="1"/>
  <c r="L57" i="4"/>
  <c r="K57" i="4"/>
  <c r="J57" i="4"/>
  <c r="I57" i="4"/>
  <c r="H57" i="4"/>
  <c r="G57" i="4"/>
  <c r="F57" i="4"/>
  <c r="E57" i="4"/>
  <c r="D57" i="4"/>
  <c r="C57" i="4"/>
  <c r="L56" i="4"/>
  <c r="K56" i="4"/>
  <c r="J56" i="4"/>
  <c r="I56" i="4"/>
  <c r="I60" i="4" s="1"/>
  <c r="I67" i="4" s="1"/>
  <c r="I42" i="6" s="1"/>
  <c r="H56" i="4"/>
  <c r="H60" i="4" s="1"/>
  <c r="H67" i="4" s="1"/>
  <c r="H42" i="6" s="1"/>
  <c r="G56" i="4"/>
  <c r="G60" i="4" s="1"/>
  <c r="G67" i="4" s="1"/>
  <c r="G42" i="6" s="1"/>
  <c r="F56" i="4"/>
  <c r="F60" i="4" s="1"/>
  <c r="F67" i="4" s="1"/>
  <c r="F42" i="6" s="1"/>
  <c r="E56" i="4"/>
  <c r="D56" i="4"/>
  <c r="C56" i="4"/>
  <c r="L54" i="4"/>
  <c r="K54" i="4"/>
  <c r="J54" i="4"/>
  <c r="J69" i="4" s="1"/>
  <c r="I54" i="4"/>
  <c r="H54" i="4"/>
  <c r="G54" i="4"/>
  <c r="F54" i="4"/>
  <c r="F69" i="4" s="1"/>
  <c r="E54" i="4"/>
  <c r="D54" i="4"/>
  <c r="C54" i="4"/>
  <c r="L53" i="4"/>
  <c r="K53" i="4"/>
  <c r="J53" i="4"/>
  <c r="I53" i="4"/>
  <c r="H53" i="4"/>
  <c r="G53" i="4"/>
  <c r="F53" i="4"/>
  <c r="E53" i="4"/>
  <c r="D53" i="4"/>
  <c r="C53" i="4"/>
  <c r="L52" i="4"/>
  <c r="L43" i="6" s="1"/>
  <c r="K52" i="4"/>
  <c r="K43" i="6" s="1"/>
  <c r="J52" i="4"/>
  <c r="J43" i="6" s="1"/>
  <c r="I52" i="4"/>
  <c r="I43" i="6" s="1"/>
  <c r="H52" i="4"/>
  <c r="H43" i="6" s="1"/>
  <c r="G52" i="4"/>
  <c r="G43" i="6" s="1"/>
  <c r="F52" i="4"/>
  <c r="F43" i="6" s="1"/>
  <c r="E52" i="4"/>
  <c r="E43" i="6" s="1"/>
  <c r="D52" i="4"/>
  <c r="D43" i="6" s="1"/>
  <c r="C52" i="4"/>
  <c r="C43" i="6" s="1"/>
  <c r="L51" i="4"/>
  <c r="K51" i="4"/>
  <c r="J51" i="4"/>
  <c r="I51" i="4"/>
  <c r="H51" i="4"/>
  <c r="G51" i="4"/>
  <c r="F51" i="4"/>
  <c r="E51" i="4"/>
  <c r="D51" i="4"/>
  <c r="C51" i="4"/>
  <c r="L50" i="4"/>
  <c r="K50" i="4"/>
  <c r="J50" i="4"/>
  <c r="I50" i="4"/>
  <c r="H50" i="4"/>
  <c r="G50" i="4"/>
  <c r="F50" i="4"/>
  <c r="E50" i="4"/>
  <c r="D50" i="4"/>
  <c r="C50" i="4"/>
  <c r="H69" i="4" l="1"/>
  <c r="C67" i="4"/>
  <c r="D67" i="4"/>
  <c r="D42" i="6" s="1"/>
  <c r="K69" i="4"/>
  <c r="E67" i="4"/>
  <c r="E42" i="6" s="1"/>
  <c r="L69" i="4"/>
  <c r="E69" i="4"/>
  <c r="G69" i="4"/>
  <c r="I69" i="4"/>
  <c r="D69" i="4"/>
  <c r="C38" i="6"/>
  <c r="N43" i="6"/>
  <c r="O43" i="6"/>
  <c r="M42" i="4"/>
  <c r="I42" i="4"/>
  <c r="H42" i="4"/>
  <c r="G42" i="4"/>
  <c r="G11" i="6" s="1"/>
  <c r="E42" i="4"/>
  <c r="E11" i="6" s="1"/>
  <c r="C42" i="4"/>
  <c r="L36" i="4"/>
  <c r="L42" i="4" s="1"/>
  <c r="K36" i="4"/>
  <c r="K42" i="4" s="1"/>
  <c r="J36" i="4"/>
  <c r="J42" i="4" s="1"/>
  <c r="J11" i="6" s="1"/>
  <c r="I36" i="4"/>
  <c r="H36" i="4"/>
  <c r="G36" i="4"/>
  <c r="F36" i="4"/>
  <c r="F42" i="4" s="1"/>
  <c r="E36" i="4"/>
  <c r="D36" i="4"/>
  <c r="D42" i="4" s="1"/>
  <c r="C36" i="4"/>
  <c r="M30" i="4"/>
  <c r="L30" i="4"/>
  <c r="K30" i="4"/>
  <c r="J30" i="4"/>
  <c r="I30" i="4"/>
  <c r="H30" i="4"/>
  <c r="G30" i="4"/>
  <c r="F30" i="4"/>
  <c r="E30" i="4"/>
  <c r="D30" i="4"/>
  <c r="C30" i="4"/>
  <c r="M24" i="4"/>
  <c r="L24" i="4"/>
  <c r="K24" i="4"/>
  <c r="J24" i="4"/>
  <c r="I24" i="4"/>
  <c r="H24" i="4"/>
  <c r="G24" i="4"/>
  <c r="F24" i="4"/>
  <c r="E24" i="4"/>
  <c r="D24" i="4"/>
  <c r="C24" i="4"/>
  <c r="M21" i="4"/>
  <c r="C21" i="4"/>
  <c r="L21" i="4"/>
  <c r="K21" i="4"/>
  <c r="J21" i="4"/>
  <c r="I21" i="4"/>
  <c r="H21" i="4"/>
  <c r="G21" i="4"/>
  <c r="F21" i="4"/>
  <c r="E21" i="4"/>
  <c r="D21" i="4"/>
  <c r="K11" i="6" l="1"/>
  <c r="L11" i="6"/>
  <c r="H11" i="6"/>
  <c r="D11" i="6"/>
  <c r="I11" i="6"/>
  <c r="F11" i="6"/>
  <c r="C42" i="6"/>
  <c r="C69" i="4"/>
  <c r="M15" i="4"/>
  <c r="L15" i="4"/>
  <c r="K15" i="4"/>
  <c r="J15" i="4"/>
  <c r="I15" i="4"/>
  <c r="H15" i="4"/>
  <c r="G15" i="4"/>
  <c r="F15" i="4"/>
  <c r="E15" i="4"/>
  <c r="D15" i="4"/>
  <c r="C15" i="4"/>
  <c r="M9" i="4"/>
  <c r="L9" i="4"/>
  <c r="L31" i="6" s="1"/>
  <c r="L38" i="6" s="1"/>
  <c r="K9" i="4"/>
  <c r="K31" i="6" s="1"/>
  <c r="K38" i="6" s="1"/>
  <c r="J9" i="4"/>
  <c r="J31" i="6" s="1"/>
  <c r="J38" i="6" s="1"/>
  <c r="I9" i="4"/>
  <c r="I31" i="6" s="1"/>
  <c r="I38" i="6" s="1"/>
  <c r="G9" i="4"/>
  <c r="G31" i="6" s="1"/>
  <c r="G38" i="6" s="1"/>
  <c r="F9" i="4"/>
  <c r="F31" i="6" s="1"/>
  <c r="F38" i="6" s="1"/>
  <c r="E9" i="4"/>
  <c r="E31" i="6" s="1"/>
  <c r="E38" i="6" s="1"/>
  <c r="D9" i="4"/>
  <c r="D31" i="6" s="1"/>
  <c r="C10" i="4"/>
  <c r="M6" i="4"/>
  <c r="M22" i="4" s="1"/>
  <c r="J6" i="4"/>
  <c r="D6" i="4"/>
  <c r="E6" i="4"/>
  <c r="F6" i="4"/>
  <c r="G6" i="4"/>
  <c r="H6" i="4"/>
  <c r="I6" i="4"/>
  <c r="K6" i="4"/>
  <c r="L6" i="4"/>
  <c r="C6" i="4"/>
  <c r="B2" i="4"/>
  <c r="J3" i="4"/>
  <c r="K3" i="4"/>
  <c r="L3" i="4"/>
  <c r="D3" i="4"/>
  <c r="E3" i="4"/>
  <c r="F3" i="4"/>
  <c r="G3" i="4"/>
  <c r="H3" i="4"/>
  <c r="I3" i="4"/>
  <c r="B6" i="2"/>
  <c r="E1" i="2"/>
  <c r="E30" i="6" l="1"/>
  <c r="E37" i="6" s="1"/>
  <c r="E39" i="6" s="1"/>
  <c r="E33" i="6"/>
  <c r="E29" i="6"/>
  <c r="E36" i="6" s="1"/>
  <c r="E32" i="6"/>
  <c r="E41" i="6"/>
  <c r="D33" i="6"/>
  <c r="D29" i="6"/>
  <c r="D36" i="6" s="1"/>
  <c r="D30" i="6"/>
  <c r="D37" i="6" s="1"/>
  <c r="D39" i="6" s="1"/>
  <c r="D32" i="6"/>
  <c r="D41" i="6"/>
  <c r="J32" i="6"/>
  <c r="J41" i="6"/>
  <c r="J33" i="6"/>
  <c r="J29" i="6"/>
  <c r="J36" i="6" s="1"/>
  <c r="J30" i="6"/>
  <c r="J37" i="6" s="1"/>
  <c r="N42" i="6"/>
  <c r="O42" i="6"/>
  <c r="K29" i="6"/>
  <c r="K36" i="6" s="1"/>
  <c r="K41" i="6"/>
  <c r="K32" i="6"/>
  <c r="K33" i="6"/>
  <c r="K30" i="6"/>
  <c r="K37" i="6" s="1"/>
  <c r="K39" i="6" s="1"/>
  <c r="I30" i="6"/>
  <c r="I37" i="6" s="1"/>
  <c r="I39" i="6" s="1"/>
  <c r="I32" i="6"/>
  <c r="I41" i="6"/>
  <c r="I29" i="6"/>
  <c r="I36" i="6" s="1"/>
  <c r="I33" i="6"/>
  <c r="D38" i="6"/>
  <c r="N31" i="6"/>
  <c r="O31" i="6"/>
  <c r="H41" i="6"/>
  <c r="H32" i="6"/>
  <c r="H30" i="6"/>
  <c r="H37" i="6" s="1"/>
  <c r="H33" i="6"/>
  <c r="H29" i="6"/>
  <c r="H36" i="6" s="1"/>
  <c r="F33" i="6"/>
  <c r="F29" i="6"/>
  <c r="F36" i="6" s="1"/>
  <c r="F30" i="6"/>
  <c r="F37" i="6" s="1"/>
  <c r="F39" i="6" s="1"/>
  <c r="F41" i="6"/>
  <c r="F32" i="6"/>
  <c r="C32" i="6"/>
  <c r="C29" i="6"/>
  <c r="C41" i="6"/>
  <c r="C30" i="6"/>
  <c r="C33" i="6"/>
  <c r="N11" i="6"/>
  <c r="O11" i="6"/>
  <c r="L41" i="6"/>
  <c r="L32" i="6"/>
  <c r="L33" i="6"/>
  <c r="L29" i="6"/>
  <c r="L36" i="6" s="1"/>
  <c r="L30" i="6"/>
  <c r="L37" i="6" s="1"/>
  <c r="L39" i="6" s="1"/>
  <c r="G41" i="6"/>
  <c r="G32" i="6"/>
  <c r="G30" i="6"/>
  <c r="G37" i="6" s="1"/>
  <c r="G33" i="6"/>
  <c r="G29" i="6"/>
  <c r="G36" i="6" s="1"/>
  <c r="I12" i="4"/>
  <c r="I13" i="4" s="1"/>
  <c r="I13" i="6" s="1"/>
  <c r="C16" i="4"/>
  <c r="C19" i="6" s="1"/>
  <c r="D12" i="4"/>
  <c r="D13" i="4" s="1"/>
  <c r="D13" i="6" s="1"/>
  <c r="D16" i="4"/>
  <c r="D19" i="6" s="1"/>
  <c r="L10" i="4"/>
  <c r="I16" i="4"/>
  <c r="I19" i="6" s="1"/>
  <c r="L16" i="4"/>
  <c r="L19" i="6" s="1"/>
  <c r="M16" i="4"/>
  <c r="I10" i="4"/>
  <c r="M7" i="4"/>
  <c r="M10" i="4"/>
  <c r="J10" i="4"/>
  <c r="I18" i="4"/>
  <c r="H7" i="4"/>
  <c r="H6" i="6" s="1"/>
  <c r="H22" i="4"/>
  <c r="H25" i="4"/>
  <c r="H20" i="6" s="1"/>
  <c r="K16" i="4"/>
  <c r="K19" i="6" s="1"/>
  <c r="F12" i="4"/>
  <c r="F13" i="4" s="1"/>
  <c r="F13" i="6" s="1"/>
  <c r="F22" i="4"/>
  <c r="F25" i="4"/>
  <c r="F20" i="6" s="1"/>
  <c r="E7" i="4"/>
  <c r="E6" i="6" s="1"/>
  <c r="E22" i="4"/>
  <c r="E25" i="4"/>
  <c r="E20" i="6" s="1"/>
  <c r="M12" i="4"/>
  <c r="D7" i="4"/>
  <c r="D6" i="6" s="1"/>
  <c r="D22" i="4"/>
  <c r="D25" i="4"/>
  <c r="D20" i="6" s="1"/>
  <c r="J12" i="4"/>
  <c r="J13" i="4" s="1"/>
  <c r="J13" i="6" s="1"/>
  <c r="J22" i="4"/>
  <c r="J25" i="4"/>
  <c r="J20" i="6" s="1"/>
  <c r="K10" i="4"/>
  <c r="I22" i="4"/>
  <c r="I25" i="4"/>
  <c r="I20" i="6" s="1"/>
  <c r="C12" i="4"/>
  <c r="G7" i="4"/>
  <c r="G6" i="6" s="1"/>
  <c r="G22" i="4"/>
  <c r="G25" i="4"/>
  <c r="G20" i="6" s="1"/>
  <c r="K12" i="4"/>
  <c r="K13" i="4" s="1"/>
  <c r="K13" i="6" s="1"/>
  <c r="K22" i="4"/>
  <c r="K25" i="4"/>
  <c r="K20" i="6" s="1"/>
  <c r="J7" i="4"/>
  <c r="J6" i="6" s="1"/>
  <c r="C22" i="4"/>
  <c r="C25" i="4"/>
  <c r="C20" i="6" s="1"/>
  <c r="K7" i="4"/>
  <c r="K6" i="6" s="1"/>
  <c r="L12" i="4"/>
  <c r="L13" i="4" s="1"/>
  <c r="L13" i="6" s="1"/>
  <c r="L25" i="4"/>
  <c r="L20" i="6" s="1"/>
  <c r="L22" i="4"/>
  <c r="L7" i="4"/>
  <c r="L6" i="6" s="1"/>
  <c r="M25" i="4"/>
  <c r="F10" i="4"/>
  <c r="H16" i="4"/>
  <c r="H19" i="6" s="1"/>
  <c r="J16" i="4"/>
  <c r="J19" i="6" s="1"/>
  <c r="I7" i="4"/>
  <c r="I6" i="6" s="1"/>
  <c r="D10" i="4"/>
  <c r="F7" i="4"/>
  <c r="F6" i="6" s="1"/>
  <c r="E16" i="4"/>
  <c r="E19" i="6" s="1"/>
  <c r="E12" i="4"/>
  <c r="F16" i="4"/>
  <c r="F19" i="6" s="1"/>
  <c r="E10" i="4"/>
  <c r="G16" i="4"/>
  <c r="G19" i="6" s="1"/>
  <c r="G12" i="4"/>
  <c r="G13" i="4" s="1"/>
  <c r="G13" i="6" s="1"/>
  <c r="G10" i="4"/>
  <c r="H10" i="4"/>
  <c r="H12" i="4"/>
  <c r="I15" i="6" l="1"/>
  <c r="I21" i="6" s="1"/>
  <c r="I23" i="6"/>
  <c r="I27" i="6"/>
  <c r="N33" i="6"/>
  <c r="O33" i="6"/>
  <c r="C37" i="6"/>
  <c r="O30" i="6"/>
  <c r="N30" i="6"/>
  <c r="N41" i="6"/>
  <c r="O41" i="6"/>
  <c r="N38" i="6"/>
  <c r="O38" i="6"/>
  <c r="J39" i="6"/>
  <c r="N19" i="6"/>
  <c r="O19" i="6"/>
  <c r="O6" i="6"/>
  <c r="N6" i="6"/>
  <c r="O20" i="6"/>
  <c r="N20" i="6"/>
  <c r="H39" i="6"/>
  <c r="G39" i="6"/>
  <c r="C36" i="6"/>
  <c r="N29" i="6"/>
  <c r="O29" i="6"/>
  <c r="O32" i="6"/>
  <c r="N32" i="6"/>
  <c r="D18" i="4"/>
  <c r="D19" i="4"/>
  <c r="D14" i="6" s="1"/>
  <c r="D27" i="4"/>
  <c r="I19" i="4"/>
  <c r="I14" i="6" s="1"/>
  <c r="I27" i="4"/>
  <c r="K18" i="4"/>
  <c r="L18" i="4"/>
  <c r="G18" i="4"/>
  <c r="E18" i="4"/>
  <c r="E13" i="4"/>
  <c r="E13" i="6" s="1"/>
  <c r="C13" i="4"/>
  <c r="C13" i="6" s="1"/>
  <c r="C18" i="4"/>
  <c r="F18" i="4"/>
  <c r="H18" i="4"/>
  <c r="H13" i="4"/>
  <c r="H13" i="6" s="1"/>
  <c r="M18" i="4"/>
  <c r="M13" i="4"/>
  <c r="C39" i="6" l="1"/>
  <c r="O37" i="6"/>
  <c r="N37" i="6"/>
  <c r="H27" i="6"/>
  <c r="H23" i="6"/>
  <c r="H8" i="6"/>
  <c r="H15" i="6"/>
  <c r="H21" i="6" s="1"/>
  <c r="H7" i="6"/>
  <c r="I5" i="7" a="1"/>
  <c r="C15" i="6"/>
  <c r="C27" i="6"/>
  <c r="C23" i="6"/>
  <c r="D15" i="6"/>
  <c r="D21" i="6" s="1"/>
  <c r="D27" i="6"/>
  <c r="D23" i="6"/>
  <c r="D8" i="6"/>
  <c r="D7" i="6"/>
  <c r="O13" i="6"/>
  <c r="N13" i="6"/>
  <c r="I7" i="6"/>
  <c r="J15" i="6"/>
  <c r="J21" i="6" s="1"/>
  <c r="J23" i="6"/>
  <c r="J7" i="6"/>
  <c r="J8" i="6"/>
  <c r="J27" i="6"/>
  <c r="O36" i="6"/>
  <c r="N36" i="6"/>
  <c r="L15" i="6"/>
  <c r="L21" i="6" s="1"/>
  <c r="L27" i="6"/>
  <c r="L8" i="6"/>
  <c r="L7" i="6"/>
  <c r="L23" i="6"/>
  <c r="K23" i="6"/>
  <c r="K8" i="6"/>
  <c r="K7" i="6"/>
  <c r="K15" i="6"/>
  <c r="K21" i="6" s="1"/>
  <c r="K27" i="6"/>
  <c r="H35" i="9"/>
  <c r="F23" i="6"/>
  <c r="F27" i="6"/>
  <c r="F8" i="6"/>
  <c r="F7" i="6"/>
  <c r="F15" i="6"/>
  <c r="F21" i="6" s="1"/>
  <c r="E27" i="6"/>
  <c r="E23" i="6"/>
  <c r="E8" i="6"/>
  <c r="E15" i="6"/>
  <c r="E21" i="6" s="1"/>
  <c r="E7" i="6"/>
  <c r="G23" i="6"/>
  <c r="G27" i="6"/>
  <c r="G8" i="6"/>
  <c r="G7" i="6"/>
  <c r="G15" i="6"/>
  <c r="G21" i="6" s="1"/>
  <c r="I8" i="6"/>
  <c r="E19" i="4"/>
  <c r="E14" i="6" s="1"/>
  <c r="E27" i="4"/>
  <c r="E9" i="6" s="1"/>
  <c r="G19" i="4"/>
  <c r="G14" i="6" s="1"/>
  <c r="G27" i="4"/>
  <c r="G9" i="6" s="1"/>
  <c r="J19" i="4"/>
  <c r="J14" i="6" s="1"/>
  <c r="J27" i="4"/>
  <c r="L19" i="4"/>
  <c r="L14" i="6" s="1"/>
  <c r="L27" i="4"/>
  <c r="K19" i="4"/>
  <c r="K14" i="6" s="1"/>
  <c r="K27" i="4"/>
  <c r="I28" i="4"/>
  <c r="I16" i="6" s="1"/>
  <c r="I31" i="4"/>
  <c r="I33" i="4"/>
  <c r="H19" i="4"/>
  <c r="H14" i="6" s="1"/>
  <c r="H27" i="4"/>
  <c r="D28" i="4"/>
  <c r="D16" i="6" s="1"/>
  <c r="D31" i="4"/>
  <c r="D33" i="4"/>
  <c r="C19" i="4"/>
  <c r="C14" i="6" s="1"/>
  <c r="C27" i="4"/>
  <c r="D9" i="6" s="1"/>
  <c r="M19" i="4"/>
  <c r="M27" i="4"/>
  <c r="F19" i="4"/>
  <c r="F14" i="6" s="1"/>
  <c r="F27" i="4"/>
  <c r="G35" i="9" l="1"/>
  <c r="H9" i="6"/>
  <c r="O15" i="6"/>
  <c r="N15" i="6"/>
  <c r="C21" i="6"/>
  <c r="I25" i="6"/>
  <c r="I5" i="7"/>
  <c r="I12" i="7"/>
  <c r="I14" i="7"/>
  <c r="J14" i="7" s="1"/>
  <c r="I10" i="7"/>
  <c r="I9" i="7"/>
  <c r="I13" i="7"/>
  <c r="I7" i="7"/>
  <c r="I6" i="7"/>
  <c r="J6" i="7" s="1"/>
  <c r="I11" i="7"/>
  <c r="J11" i="7" s="1"/>
  <c r="I8" i="7"/>
  <c r="J8" i="7" s="1"/>
  <c r="F9" i="6"/>
  <c r="N9" i="6" s="1"/>
  <c r="N23" i="6"/>
  <c r="O23" i="6"/>
  <c r="N27" i="6"/>
  <c r="O27" i="6"/>
  <c r="O7" i="6"/>
  <c r="N7" i="6"/>
  <c r="K35" i="9"/>
  <c r="L9" i="6"/>
  <c r="N8" i="6"/>
  <c r="O8" i="6"/>
  <c r="O14" i="6"/>
  <c r="N14" i="6"/>
  <c r="I9" i="6"/>
  <c r="J35" i="9"/>
  <c r="K9" i="6"/>
  <c r="O9" i="6" s="1"/>
  <c r="D10" i="6"/>
  <c r="D25" i="6"/>
  <c r="I35" i="9"/>
  <c r="J9" i="6"/>
  <c r="H44" i="9"/>
  <c r="H46" i="9" s="1"/>
  <c r="H50" i="9" s="1"/>
  <c r="H37" i="9"/>
  <c r="H58" i="9" s="1"/>
  <c r="O39" i="6"/>
  <c r="N39" i="6"/>
  <c r="M33" i="4"/>
  <c r="M31" i="4"/>
  <c r="M28" i="4"/>
  <c r="F28" i="4"/>
  <c r="F16" i="6" s="1"/>
  <c r="F33" i="4"/>
  <c r="F31" i="4"/>
  <c r="L33" i="4"/>
  <c r="L28" i="4"/>
  <c r="L16" i="6" s="1"/>
  <c r="L31" i="4"/>
  <c r="D39" i="4"/>
  <c r="D34" i="4"/>
  <c r="D17" i="6" s="1"/>
  <c r="G28" i="4"/>
  <c r="G16" i="6" s="1"/>
  <c r="G31" i="4"/>
  <c r="G33" i="4"/>
  <c r="K31" i="4"/>
  <c r="K33" i="4"/>
  <c r="K28" i="4"/>
  <c r="K16" i="6" s="1"/>
  <c r="C28" i="4"/>
  <c r="C16" i="6" s="1"/>
  <c r="C31" i="4"/>
  <c r="C33" i="4"/>
  <c r="C25" i="6" s="1"/>
  <c r="J28" i="4"/>
  <c r="J16" i="6" s="1"/>
  <c r="J31" i="4"/>
  <c r="J33" i="4"/>
  <c r="H28" i="4"/>
  <c r="H16" i="6" s="1"/>
  <c r="H31" i="4"/>
  <c r="H33" i="4"/>
  <c r="E28" i="4"/>
  <c r="E16" i="6" s="1"/>
  <c r="E31" i="4"/>
  <c r="E33" i="4"/>
  <c r="I34" i="4"/>
  <c r="I17" i="6" s="1"/>
  <c r="I39" i="4"/>
  <c r="E25" i="6" l="1"/>
  <c r="E10" i="6"/>
  <c r="N10" i="6" s="1"/>
  <c r="K25" i="6"/>
  <c r="K10" i="6"/>
  <c r="J12" i="7"/>
  <c r="J44" i="9"/>
  <c r="J46" i="9" s="1"/>
  <c r="J50" i="9" s="1"/>
  <c r="J57" i="9" s="1"/>
  <c r="J37" i="9"/>
  <c r="J58" i="9" s="1"/>
  <c r="I16" i="7"/>
  <c r="I17" i="7"/>
  <c r="J17" i="7" s="1"/>
  <c r="I18" i="7"/>
  <c r="J18" i="7" s="1"/>
  <c r="I19" i="7"/>
  <c r="H10" i="6"/>
  <c r="H25" i="6"/>
  <c r="G10" i="6"/>
  <c r="G25" i="6"/>
  <c r="O25" i="6" s="1"/>
  <c r="I10" i="6"/>
  <c r="H57" i="9"/>
  <c r="H60" i="9" s="1"/>
  <c r="I15" i="7"/>
  <c r="J15" i="7" s="1"/>
  <c r="J7" i="7"/>
  <c r="K44" i="9"/>
  <c r="K46" i="9" s="1"/>
  <c r="K50" i="9" s="1"/>
  <c r="K57" i="9" s="1"/>
  <c r="K37" i="9"/>
  <c r="K58" i="9" s="1"/>
  <c r="J13" i="7"/>
  <c r="G44" i="9"/>
  <c r="G46" i="9" s="1"/>
  <c r="G37" i="9"/>
  <c r="F10" i="6"/>
  <c r="F25" i="6"/>
  <c r="N25" i="6" s="1"/>
  <c r="O21" i="6"/>
  <c r="N21" i="6"/>
  <c r="J25" i="6"/>
  <c r="J10" i="6"/>
  <c r="L25" i="6"/>
  <c r="L10" i="6"/>
  <c r="I44" i="9"/>
  <c r="I46" i="9" s="1"/>
  <c r="I37" i="9"/>
  <c r="I58" i="9" s="1"/>
  <c r="J9" i="7"/>
  <c r="O16" i="6"/>
  <c r="N16" i="6"/>
  <c r="J10" i="7"/>
  <c r="I45" i="4"/>
  <c r="I24" i="6" s="1"/>
  <c r="I26" i="6" s="1"/>
  <c r="I43" i="4"/>
  <c r="D43" i="4"/>
  <c r="D45" i="4" s="1"/>
  <c r="D24" i="6" s="1"/>
  <c r="D26" i="6" s="1"/>
  <c r="J34" i="4"/>
  <c r="J17" i="6" s="1"/>
  <c r="J39" i="4"/>
  <c r="L34" i="4"/>
  <c r="L17" i="6" s="1"/>
  <c r="L39" i="4"/>
  <c r="E39" i="4"/>
  <c r="E34" i="4"/>
  <c r="E17" i="6" s="1"/>
  <c r="C39" i="4"/>
  <c r="C34" i="4"/>
  <c r="C17" i="6" s="1"/>
  <c r="F34" i="4"/>
  <c r="F17" i="6" s="1"/>
  <c r="F39" i="4"/>
  <c r="K34" i="4"/>
  <c r="K17" i="6" s="1"/>
  <c r="K39" i="4"/>
  <c r="H34" i="4"/>
  <c r="H17" i="6" s="1"/>
  <c r="H39" i="4"/>
  <c r="G34" i="4"/>
  <c r="G17" i="6" s="1"/>
  <c r="G39" i="4"/>
  <c r="M34" i="4"/>
  <c r="M39" i="4"/>
  <c r="I50" i="9" l="1"/>
  <c r="K52" i="9" s="1"/>
  <c r="J16" i="7"/>
  <c r="O17" i="6"/>
  <c r="N17" i="6"/>
  <c r="K53" i="9"/>
  <c r="D7" i="10" s="1"/>
  <c r="D8" i="10" s="1"/>
  <c r="J60" i="9"/>
  <c r="O10" i="6"/>
  <c r="K60" i="9"/>
  <c r="D40" i="4"/>
  <c r="N5" i="7" a="1"/>
  <c r="L40" i="4"/>
  <c r="L43" i="4"/>
  <c r="L45" i="4" s="1"/>
  <c r="L24" i="6" s="1"/>
  <c r="L26" i="6" s="1"/>
  <c r="M40" i="4"/>
  <c r="M43" i="4"/>
  <c r="M45" i="4" s="1"/>
  <c r="E40" i="4"/>
  <c r="E43" i="4"/>
  <c r="E45" i="4" s="1"/>
  <c r="E24" i="6" s="1"/>
  <c r="E26" i="6" s="1"/>
  <c r="H40" i="4"/>
  <c r="H45" i="4"/>
  <c r="H24" i="6" s="1"/>
  <c r="H26" i="6" s="1"/>
  <c r="H43" i="4"/>
  <c r="K45" i="4"/>
  <c r="K24" i="6" s="1"/>
  <c r="K26" i="6" s="1"/>
  <c r="K40" i="4"/>
  <c r="K43" i="4"/>
  <c r="I40" i="4"/>
  <c r="G40" i="4"/>
  <c r="G45" i="4"/>
  <c r="G24" i="6" s="1"/>
  <c r="G26" i="6" s="1"/>
  <c r="G43" i="4"/>
  <c r="J40" i="4"/>
  <c r="J45" i="4"/>
  <c r="J24" i="6" s="1"/>
  <c r="J26" i="6" s="1"/>
  <c r="J43" i="4"/>
  <c r="F40" i="4"/>
  <c r="F43" i="4"/>
  <c r="F45" i="4" s="1"/>
  <c r="F24" i="6" s="1"/>
  <c r="F26" i="6" s="1"/>
  <c r="C43" i="4"/>
  <c r="C45" i="4" s="1"/>
  <c r="C24" i="6" s="1"/>
  <c r="I57" i="9" l="1"/>
  <c r="I60" i="9" s="1"/>
  <c r="N5" i="7"/>
  <c r="N11" i="7"/>
  <c r="O11" i="7" s="1"/>
  <c r="N12" i="7"/>
  <c r="N13" i="7"/>
  <c r="O13" i="7" s="1"/>
  <c r="N14" i="7"/>
  <c r="O14" i="7" s="1"/>
  <c r="N8" i="7"/>
  <c r="O8" i="7" s="1"/>
  <c r="N9" i="7"/>
  <c r="O9" i="7" s="1"/>
  <c r="N10" i="7"/>
  <c r="N7" i="7"/>
  <c r="N6" i="7"/>
  <c r="O6" i="7" s="1"/>
  <c r="N24" i="6"/>
  <c r="O24" i="6"/>
  <c r="C26" i="6"/>
  <c r="K62" i="9" l="1"/>
  <c r="K63" i="9"/>
  <c r="O7" i="7"/>
  <c r="O10" i="7"/>
  <c r="O12" i="7"/>
  <c r="O26" i="6"/>
  <c r="N26" i="6"/>
  <c r="N19" i="7"/>
  <c r="N16" i="7"/>
  <c r="N18" i="7"/>
  <c r="N17" i="7"/>
  <c r="O17" i="7" s="1"/>
  <c r="N15" i="7"/>
  <c r="O15" i="7" s="1"/>
  <c r="O18" i="7" l="1"/>
  <c r="O19" i="7"/>
  <c r="O16" i="7"/>
  <c r="E7" i="10"/>
  <c r="F7" i="10" l="1"/>
  <c r="E8" i="10"/>
  <c r="E12" i="10" s="1"/>
  <c r="G7" i="10" l="1"/>
  <c r="F8" i="10"/>
  <c r="F12" i="10" s="1"/>
  <c r="H7" i="10" l="1"/>
  <c r="H8" i="10" s="1"/>
  <c r="H12" i="10" s="1"/>
  <c r="G8" i="10"/>
  <c r="G12" i="10" s="1"/>
  <c r="C28" i="10" l="1"/>
  <c r="C30" i="10" s="1"/>
  <c r="F19" i="10" s="1"/>
  <c r="C34" i="10" l="1"/>
  <c r="C37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B9BBC-F372-4537-926F-569DE7E1D387}" name="Query - Beta - Comps" description="Connection to the 'Beta - Comps' query in the workbook." type="100" refreshedVersion="8" minRefreshableVersion="5">
    <extLst>
      <ext xmlns:x15="http://schemas.microsoft.com/office/spreadsheetml/2010/11/main" uri="{DE250136-89BD-433C-8126-D09CA5730AF9}">
        <x15:connection id="2bea8d3a-15bc-4554-b455-3429345f36ea"/>
      </ext>
    </extLst>
  </connection>
  <connection id="2" xr16:uid="{F1F9AAE4-2EA7-4E15-ABA6-BFE7657ECCF9}" name="Query - Beta - Regression" description="Connection to the 'Beta - Regression' query in the workbook." type="100" refreshedVersion="8" minRefreshableVersion="5">
    <extLst>
      <ext xmlns:x15="http://schemas.microsoft.com/office/spreadsheetml/2010/11/main" uri="{DE250136-89BD-433C-8126-D09CA5730AF9}">
        <x15:connection id="9c6432f8-6500-4b28-ae2c-3f43459a74c8"/>
      </ext>
    </extLst>
  </connection>
  <connection id="3" xr16:uid="{76FF631B-7A98-49BF-BDA7-949F9260C988}" name="Query - WACC" description="Connection to the 'WACC' query in the workbook." type="100" refreshedVersion="8" minRefreshableVersion="5">
    <extLst>
      <ext xmlns:x15="http://schemas.microsoft.com/office/spreadsheetml/2010/11/main" uri="{DE250136-89BD-433C-8126-D09CA5730AF9}">
        <x15:connection id="606438a4-a504-4089-8028-e5d70a29b89a"/>
      </ext>
    </extLst>
  </connection>
  <connection id="4" xr16:uid="{4CDE9FFC-79F2-4D8C-823C-46E794F4AE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<sst xmlns="http://schemas.openxmlformats.org/spreadsheetml/2006/main" count="401" uniqueCount="242">
  <si>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</si>
  <si>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</si>
  <si>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</si>
  <si>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</si>
  <si>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</si>
  <si>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</si>
  <si>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</si>
  <si>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</si>
  <si>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</si>
  <si>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</si>
  <si>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</si>
  <si>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</si>
  <si>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</si>
  <si>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</si>
  <si>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</si>
  <si>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</si>
  <si>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</si>
  <si>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</si>
  <si>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</si>
  <si>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</si>
  <si>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</si>
  <si>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</si>
  <si>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</si>
  <si>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</si>
  <si>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</si>
  <si>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</si>
  <si>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</si>
  <si>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</si>
  <si>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</si>
  <si>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</si>
  <si>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</si>
  <si>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</si>
  <si>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</si>
  <si>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</si>
  <si>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</si>
  <si>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</si>
  <si>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</si>
  <si>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</si>
  <si>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</si>
  <si>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</si>
  <si>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</si>
  <si>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</si>
  <si>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</si>
  <si>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</si>
  <si>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</si>
  <si>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</si>
  <si>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</si>
  <si>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</si>
  <si>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</si>
  <si>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</si>
  <si>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</si>
  <si>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</si>
  <si>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</si>
  <si>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</si>
  <si>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</t>
  </si>
  <si>
    <t>LTM</t>
  </si>
  <si>
    <t>Income Statement</t>
  </si>
  <si>
    <t>#</t>
  </si>
  <si>
    <t>Sales Growth</t>
  </si>
  <si>
    <t>-</t>
  </si>
  <si>
    <t>COGS</t>
  </si>
  <si>
    <t>COGS % of Sales</t>
  </si>
  <si>
    <t>Gross Profit</t>
  </si>
  <si>
    <t>Selling &amp;  General Expenses</t>
  </si>
  <si>
    <t>S&amp;G % of Sales</t>
  </si>
  <si>
    <t>EBITDA</t>
  </si>
  <si>
    <t>EBITDA % of Sales</t>
  </si>
  <si>
    <t>Interest % of Sales</t>
  </si>
  <si>
    <t>Depreciation of Sales</t>
  </si>
  <si>
    <t>Gross Margin</t>
  </si>
  <si>
    <t>Earning Before Tax (EBT)</t>
  </si>
  <si>
    <t>EBT % of Sales</t>
  </si>
  <si>
    <t>Effective Tax Rate</t>
  </si>
  <si>
    <t>Net Profit</t>
  </si>
  <si>
    <t>Net Margin</t>
  </si>
  <si>
    <t>No. Of Equity Shares</t>
  </si>
  <si>
    <t>Earning Per Share</t>
  </si>
  <si>
    <t>Dividend Per Share</t>
  </si>
  <si>
    <t xml:space="preserve">EPS Growth % </t>
  </si>
  <si>
    <t>Dividend Payout Ratio</t>
  </si>
  <si>
    <t>Retained Earnings</t>
  </si>
  <si>
    <t>Balance Sheet</t>
  </si>
  <si>
    <t>Total Liabilities</t>
  </si>
  <si>
    <t>Fixed Assets Net Block</t>
  </si>
  <si>
    <t>Total Non-Current Assets</t>
  </si>
  <si>
    <t>Total Current Assets</t>
  </si>
  <si>
    <t>Total Assets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</si>
  <si>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</si>
  <si>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</si>
  <si>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</si>
  <si>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</si>
  <si>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</si>
  <si>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</si>
  <si>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</si>
  <si>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</si>
  <si>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</si>
  <si>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</si>
  <si>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</si>
  <si>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</si>
  <si>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</si>
  <si>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</si>
  <si>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</si>
  <si>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</si>
  <si>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</si>
  <si>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</si>
  <si>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</si>
  <si>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</si>
  <si>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</si>
  <si>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</si>
  <si>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</si>
  <si>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</si>
  <si>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</si>
  <si>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</si>
  <si>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</si>
  <si>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</si>
  <si>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</si>
  <si>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Statements</t>
  </si>
  <si>
    <t>Cash Flow from Operating Activities</t>
  </si>
  <si>
    <t>Operating Activities</t>
  </si>
  <si>
    <t>Investing Activities</t>
  </si>
  <si>
    <t>Cash Flow from Investing Activities</t>
  </si>
  <si>
    <t>Financing Activities</t>
  </si>
  <si>
    <t>Cash Flow from Financing Activities</t>
  </si>
  <si>
    <t>SalesGrowth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</si>
  <si>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</si>
  <si>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</si>
  <si>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</si>
  <si>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</si>
  <si>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</si>
  <si>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</si>
  <si>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</si>
  <si>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</si>
  <si>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</si>
  <si>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</si>
  <si>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</si>
  <si>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</si>
  <si>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</si>
  <si>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</si>
  <si>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</si>
  <si>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</si>
  <si>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</si>
  <si>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</si>
  <si>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</si>
  <si>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</si>
  <si>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</si>
  <si>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</si>
  <si>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</si>
  <si>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</si>
  <si>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</si>
  <si>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</si>
  <si>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</si>
  <si>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</si>
  <si>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</si>
  <si>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( In Days )</t>
  </si>
  <si>
    <t>Mean</t>
  </si>
  <si>
    <t>Median</t>
  </si>
  <si>
    <t>Trend</t>
  </si>
  <si>
    <t>Year Weight</t>
  </si>
  <si>
    <t>EPS</t>
  </si>
  <si>
    <t>Common Size Balance Sheet</t>
  </si>
  <si>
    <t>Particulars</t>
  </si>
  <si>
    <t>Common Size Income Statement</t>
  </si>
  <si>
    <t>Equity Capital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</si>
  <si>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</si>
  <si>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</si>
  <si>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</si>
  <si>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</si>
  <si>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</si>
  <si>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</si>
  <si>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</si>
  <si>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</si>
  <si>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</si>
  <si>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</si>
  <si>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</si>
  <si>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</si>
  <si>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</si>
  <si>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</si>
  <si>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</si>
  <si>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</si>
  <si>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</si>
  <si>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</si>
  <si>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</si>
  <si>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</si>
  <si>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</si>
  <si>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</si>
  <si>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Trade receivables +</t>
  </si>
  <si>
    <t>Cash Equivalents</t>
  </si>
  <si>
    <t>Loans n Advances</t>
  </si>
  <si>
    <t>Other asset items</t>
  </si>
  <si>
    <t>Calculations of ROIC</t>
  </si>
  <si>
    <t>Current Assets</t>
  </si>
  <si>
    <t xml:space="preserve">Trade receivables </t>
  </si>
  <si>
    <t>Current Liabilities</t>
  </si>
  <si>
    <t>Total Current Liabilities</t>
  </si>
  <si>
    <t>Net Working Capital</t>
  </si>
  <si>
    <t>Non-Current Assets</t>
  </si>
  <si>
    <t>Accumulated Dpreication</t>
  </si>
  <si>
    <t>Net Non Current Assets</t>
  </si>
  <si>
    <t>Invested capital</t>
  </si>
  <si>
    <t>EBIT</t>
  </si>
  <si>
    <t>ROIC</t>
  </si>
  <si>
    <t>Calculations of Reinvestment Rate</t>
  </si>
  <si>
    <t>Net Capex</t>
  </si>
  <si>
    <t>Change in Working Capital</t>
  </si>
  <si>
    <t>Marginal  Tax Rate</t>
  </si>
  <si>
    <t>EBIT(1-T)</t>
  </si>
  <si>
    <t>Reinvestment</t>
  </si>
  <si>
    <t>Reinvestment Rate</t>
  </si>
  <si>
    <t xml:space="preserve"> </t>
  </si>
  <si>
    <t>4 Years Average</t>
  </si>
  <si>
    <t>4 Years Median</t>
  </si>
  <si>
    <t>Calculations of Growth Rate</t>
  </si>
  <si>
    <t>Reinvesment Rate</t>
  </si>
  <si>
    <t>Interinsic Growth</t>
  </si>
  <si>
    <t>Calculation of PV of FCFF</t>
  </si>
  <si>
    <t>Tax Rate</t>
  </si>
  <si>
    <t>EBIT (1-Tax rate)</t>
  </si>
  <si>
    <r>
      <t xml:space="preserve">Less: </t>
    </r>
    <r>
      <rPr>
        <sz val="11"/>
        <color theme="1"/>
        <rFont val="Calibri"/>
        <family val="2"/>
      </rPr>
      <t>Reinvestment Rate</t>
    </r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</si>
  <si>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</si>
  <si>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</si>
  <si>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</si>
  <si>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</si>
  <si>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</si>
  <si>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</si>
  <si>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</si>
  <si>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</si>
  <si>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FCFF (n+1)</t>
  </si>
  <si>
    <t>Terminal Growth rate</t>
  </si>
  <si>
    <t>Terminal Value</t>
  </si>
  <si>
    <t>Calculation of Equity Value</t>
  </si>
  <si>
    <t>PV of Terminal Value</t>
  </si>
  <si>
    <t>Value of OperatingAssets</t>
  </si>
  <si>
    <r>
      <rPr>
        <i/>
        <sz val="11"/>
        <color theme="1"/>
        <rFont val="Calibri"/>
        <family val="2"/>
      </rPr>
      <t xml:space="preserve">Add: </t>
    </r>
    <r>
      <rPr>
        <sz val="11"/>
        <color theme="1"/>
        <rFont val="Calibri"/>
        <family val="2"/>
      </rPr>
      <t>cash</t>
    </r>
  </si>
  <si>
    <r>
      <t xml:space="preserve">Less: </t>
    </r>
    <r>
      <rPr>
        <sz val="11"/>
        <color theme="1"/>
        <rFont val="Calibri"/>
        <family val="2"/>
      </rPr>
      <t>Debt</t>
    </r>
  </si>
  <si>
    <t>Value of Equity</t>
  </si>
  <si>
    <t>Equity Value per Share</t>
  </si>
  <si>
    <t>Sensitivity Analysis</t>
  </si>
  <si>
    <t xml:space="preserve">Other Assets </t>
  </si>
  <si>
    <t xml:space="preserve">Cash from Operating Activity </t>
  </si>
  <si>
    <t xml:space="preserve">Cash from Investing Activity </t>
  </si>
  <si>
    <t xml:space="preserve">Cash from Financing Activity </t>
  </si>
  <si>
    <t xml:space="preserve">Borrowings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</si>
</sst>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&quot;₹&quot;\ \(#,##0.0\);\-"/>
    <numFmt numFmtId="167" formatCode="&quot;₹&quot;\ #,##0.0"/>
    <numFmt numFmtId="168" formatCode="&quot;₹&quot;\ #,##0.00;&quot;₹&quot;\ \(#,##0.00\);\-"/>
    <numFmt numFmtId="169" formatCode="0.00&quot;x&quot;"/>
    <numFmt numFmtId="170" formatCode="yyyy"/>
    <numFmt numFmtId="171" formatCode="yyyy&quot;A&quot;"/>
    <numFmt numFmtId="172" formatCode="yyyy&quot;E&quot;"/>
    <numFmt numFmtId="173" formatCode="#,##0.0"/>
    <numFmt numFmtId="174" formatCode="#,##0.0;\(#,##0.0\);\-"/>
    <numFmt numFmtId="175" formatCode="mmm/yy&quot;A&quot;"/>
    <numFmt numFmtId="176" formatCode="mmm/yy&quot;F&quot;"/>
    <numFmt numFmtId="177" formatCode="0.000"/>
    <numFmt numFmtId="178" formatCode="0.00%;\(0.00%\)"/>
    <numFmt numFmtId="179" formatCode="#,##0;\(#,##0\);\-"/>
    <numFmt numFmtId="180" formatCode="0.00%;\(0.00%\);\-"/>
  </numFmts>
  <fonts count="1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0" tint="-0.34998626667073579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rgb="FF0070C0"/>
      <name val="Calibri"/>
      <family val="2"/>
    </font>
    <font>
      <sz val="11"/>
      <color rgb="FF0070C0"/>
      <name val="Calibri"/>
      <family val="2"/>
    </font>
    <font>
      <i/>
      <sz val="11"/>
      <color theme="2" tint="-9.9978637043366805E-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theme="4" tint="-0.499984740745262"/>
      </top>
      <bottom style="hair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auto="1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43" fontId="3" fillId="0" borderId="0" xfId="1" applyFont="1" applyBorder="1"/>
    <xf numFmtId="43" fontId="0" fillId="0" borderId="0" xfId="1" applyFont="1" applyBorder="1"/>
    <xf numFmtId="164" fontId="4" fillId="5" borderId="0" xfId="1" applyNumberFormat="1" applyFont="1" applyFill="1" applyBorder="1"/>
    <xf numFmtId="164" fontId="4" fillId="5" borderId="0" xfId="0" applyNumberFormat="1" applyFont="1" applyFill="1" applyAlignment="1">
      <alignment horizontal="center"/>
    </xf>
    <xf numFmtId="164" fontId="7" fillId="0" borderId="0" xfId="1" applyNumberFormat="1" applyFont="1" applyFill="1" applyBorder="1"/>
    <xf numFmtId="43" fontId="2" fillId="0" borderId="0" xfId="1" applyFont="1" applyBorder="1"/>
    <xf numFmtId="165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17" fontId="8" fillId="6" borderId="0" xfId="0" applyNumberFormat="1" applyFont="1" applyFill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10" fontId="10" fillId="0" borderId="0" xfId="9" applyNumberFormat="1" applyFont="1"/>
    <xf numFmtId="166" fontId="0" fillId="0" borderId="0" xfId="0" applyNumberFormat="1"/>
    <xf numFmtId="167" fontId="0" fillId="0" borderId="0" xfId="0" applyNumberFormat="1"/>
    <xf numFmtId="0" fontId="0" fillId="7" borderId="0" xfId="0" applyFill="1"/>
    <xf numFmtId="0" fontId="8" fillId="7" borderId="0" xfId="0" applyFont="1" applyFill="1"/>
    <xf numFmtId="17" fontId="8" fillId="7" borderId="0" xfId="0" applyNumberFormat="1" applyFont="1" applyFill="1"/>
    <xf numFmtId="17" fontId="8" fillId="7" borderId="0" xfId="0" applyNumberFormat="1" applyFont="1" applyFill="1" applyAlignment="1">
      <alignment horizontal="right"/>
    </xf>
    <xf numFmtId="0" fontId="9" fillId="8" borderId="0" xfId="0" applyFont="1" applyFill="1"/>
    <xf numFmtId="0" fontId="0" fillId="8" borderId="0" xfId="0" applyFill="1"/>
    <xf numFmtId="168" fontId="0" fillId="0" borderId="0" xfId="0" applyNumberFormat="1"/>
    <xf numFmtId="10" fontId="0" fillId="0" borderId="0" xfId="9" applyNumberFormat="1" applyFont="1"/>
    <xf numFmtId="43" fontId="3" fillId="7" borderId="0" xfId="1" applyFont="1" applyFill="1" applyBorder="1"/>
    <xf numFmtId="0" fontId="9" fillId="0" borderId="0" xfId="0" applyFont="1"/>
    <xf numFmtId="166" fontId="0" fillId="0" borderId="0" xfId="0" applyNumberFormat="1" applyAlignment="1">
      <alignment horizontal="right"/>
    </xf>
    <xf numFmtId="0" fontId="11" fillId="0" borderId="0" xfId="0" applyFont="1"/>
    <xf numFmtId="17" fontId="0" fillId="0" borderId="0" xfId="0" applyNumberFormat="1"/>
    <xf numFmtId="3" fontId="0" fillId="0" borderId="0" xfId="0" applyNumberFormat="1"/>
    <xf numFmtId="0" fontId="9" fillId="0" borderId="1" xfId="0" applyFont="1" applyBorder="1"/>
    <xf numFmtId="167" fontId="9" fillId="0" borderId="1" xfId="0" applyNumberFormat="1" applyFont="1" applyBorder="1"/>
    <xf numFmtId="43" fontId="3" fillId="0" borderId="1" xfId="1" applyFont="1" applyBorder="1"/>
    <xf numFmtId="166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/>
    <xf numFmtId="0" fontId="8" fillId="6" borderId="0" xfId="0" applyFont="1" applyFill="1" applyAlignment="1">
      <alignment horizontal="center"/>
    </xf>
    <xf numFmtId="169" fontId="0" fillId="0" borderId="0" xfId="9" applyNumberFormat="1" applyFont="1"/>
    <xf numFmtId="0" fontId="12" fillId="0" borderId="0" xfId="0" applyFont="1"/>
    <xf numFmtId="0" fontId="0" fillId="0" borderId="2" xfId="0" applyBorder="1"/>
    <xf numFmtId="10" fontId="0" fillId="0" borderId="2" xfId="9" applyNumberFormat="1" applyFont="1" applyBorder="1"/>
    <xf numFmtId="10" fontId="0" fillId="0" borderId="0" xfId="9" applyNumberFormat="1" applyFont="1" applyBorder="1"/>
    <xf numFmtId="0" fontId="0" fillId="0" borderId="3" xfId="0" applyBorder="1"/>
    <xf numFmtId="10" fontId="0" fillId="0" borderId="3" xfId="9" applyNumberFormat="1" applyFont="1" applyBorder="1"/>
    <xf numFmtId="10" fontId="0" fillId="0" borderId="3" xfId="0" applyNumberFormat="1" applyBorder="1"/>
    <xf numFmtId="169" fontId="0" fillId="0" borderId="3" xfId="9" applyNumberFormat="1" applyFont="1" applyBorder="1"/>
    <xf numFmtId="169" fontId="0" fillId="0" borderId="2" xfId="9" applyNumberFormat="1" applyFont="1" applyBorder="1"/>
    <xf numFmtId="169" fontId="0" fillId="0" borderId="0" xfId="9" applyNumberFormat="1" applyFont="1" applyBorder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0" fontId="0" fillId="0" borderId="4" xfId="0" applyBorder="1"/>
    <xf numFmtId="1" fontId="0" fillId="0" borderId="4" xfId="0" applyNumberFormat="1" applyBorder="1"/>
    <xf numFmtId="0" fontId="0" fillId="0" borderId="5" xfId="0" applyBorder="1"/>
    <xf numFmtId="1" fontId="0" fillId="0" borderId="5" xfId="0" applyNumberFormat="1" applyBorder="1"/>
    <xf numFmtId="10" fontId="0" fillId="0" borderId="4" xfId="9" applyNumberFormat="1" applyFont="1" applyBorder="1"/>
    <xf numFmtId="10" fontId="0" fillId="0" borderId="5" xfId="9" applyNumberFormat="1" applyFont="1" applyBorder="1"/>
    <xf numFmtId="17" fontId="8" fillId="6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8" fillId="9" borderId="0" xfId="0" applyFont="1" applyFill="1" applyAlignment="1">
      <alignment horizontal="right"/>
    </xf>
    <xf numFmtId="170" fontId="0" fillId="0" borderId="0" xfId="0" applyNumberFormat="1"/>
    <xf numFmtId="171" fontId="0" fillId="0" borderId="0" xfId="0" applyNumberFormat="1"/>
    <xf numFmtId="173" fontId="0" fillId="0" borderId="0" xfId="0" applyNumberFormat="1"/>
    <xf numFmtId="0" fontId="0" fillId="10" borderId="0" xfId="0" applyFill="1" applyAlignment="1">
      <alignment horizontal="left"/>
    </xf>
    <xf numFmtId="172" fontId="0" fillId="10" borderId="0" xfId="0" applyNumberFormat="1" applyFill="1"/>
    <xf numFmtId="173" fontId="0" fillId="10" borderId="0" xfId="0" applyNumberFormat="1" applyFill="1"/>
    <xf numFmtId="10" fontId="0" fillId="10" borderId="0" xfId="9" applyNumberFormat="1" applyFont="1" applyFill="1"/>
    <xf numFmtId="17" fontId="9" fillId="0" borderId="0" xfId="0" applyNumberFormat="1" applyFont="1"/>
    <xf numFmtId="0" fontId="9" fillId="0" borderId="6" xfId="0" applyFont="1" applyBorder="1"/>
    <xf numFmtId="174" fontId="0" fillId="0" borderId="7" xfId="0" applyNumberFormat="1" applyBorder="1"/>
    <xf numFmtId="174" fontId="9" fillId="0" borderId="8" xfId="0" applyNumberFormat="1" applyFont="1" applyBorder="1"/>
    <xf numFmtId="174" fontId="9" fillId="0" borderId="0" xfId="0" applyNumberFormat="1" applyFont="1"/>
    <xf numFmtId="174" fontId="0" fillId="0" borderId="0" xfId="0" applyNumberFormat="1"/>
    <xf numFmtId="174" fontId="0" fillId="0" borderId="9" xfId="0" applyNumberFormat="1" applyBorder="1"/>
    <xf numFmtId="174" fontId="9" fillId="0" borderId="5" xfId="0" applyNumberFormat="1" applyFont="1" applyBorder="1"/>
    <xf numFmtId="174" fontId="9" fillId="0" borderId="9" xfId="0" applyNumberFormat="1" applyFont="1" applyBorder="1"/>
    <xf numFmtId="0" fontId="0" fillId="6" borderId="0" xfId="0" applyFill="1"/>
    <xf numFmtId="17" fontId="8" fillId="0" borderId="0" xfId="0" applyNumberFormat="1" applyFont="1"/>
    <xf numFmtId="0" fontId="9" fillId="0" borderId="4" xfId="0" applyFont="1" applyBorder="1"/>
    <xf numFmtId="0" fontId="0" fillId="0" borderId="9" xfId="0" applyBorder="1"/>
    <xf numFmtId="173" fontId="0" fillId="0" borderId="9" xfId="0" applyNumberFormat="1" applyBorder="1"/>
    <xf numFmtId="173" fontId="9" fillId="0" borderId="0" xfId="0" applyNumberFormat="1" applyFont="1"/>
    <xf numFmtId="0" fontId="9" fillId="0" borderId="10" xfId="0" applyFont="1" applyBorder="1"/>
    <xf numFmtId="0" fontId="0" fillId="0" borderId="10" xfId="0" applyBorder="1"/>
    <xf numFmtId="173" fontId="9" fillId="0" borderId="10" xfId="0" applyNumberFormat="1" applyFont="1" applyBorder="1"/>
    <xf numFmtId="10" fontId="9" fillId="0" borderId="10" xfId="9" applyNumberFormat="1" applyFont="1" applyBorder="1"/>
    <xf numFmtId="9" fontId="13" fillId="0" borderId="0" xfId="0" applyNumberFormat="1" applyFont="1"/>
    <xf numFmtId="0" fontId="0" fillId="0" borderId="1" xfId="0" applyBorder="1"/>
    <xf numFmtId="0" fontId="9" fillId="0" borderId="11" xfId="0" applyFont="1" applyBorder="1"/>
    <xf numFmtId="10" fontId="9" fillId="0" borderId="11" xfId="9" applyNumberFormat="1" applyFont="1" applyBorder="1"/>
    <xf numFmtId="10" fontId="9" fillId="0" borderId="11" xfId="0" applyNumberFormat="1" applyFont="1" applyBorder="1"/>
    <xf numFmtId="0" fontId="9" fillId="10" borderId="0" xfId="0" applyFont="1" applyFill="1"/>
    <xf numFmtId="10" fontId="9" fillId="10" borderId="0" xfId="0" applyNumberFormat="1" applyFont="1" applyFill="1"/>
    <xf numFmtId="0" fontId="9" fillId="0" borderId="9" xfId="0" applyFont="1" applyBorder="1"/>
    <xf numFmtId="173" fontId="9" fillId="0" borderId="9" xfId="0" applyNumberFormat="1" applyFont="1" applyBorder="1"/>
    <xf numFmtId="43" fontId="0" fillId="0" borderId="0" xfId="0" applyNumberFormat="1"/>
    <xf numFmtId="10" fontId="0" fillId="0" borderId="0" xfId="0" applyNumberFormat="1"/>
    <xf numFmtId="0" fontId="9" fillId="0" borderId="12" xfId="0" applyFont="1" applyBorder="1"/>
    <xf numFmtId="0" fontId="0" fillId="0" borderId="12" xfId="0" applyBorder="1"/>
    <xf numFmtId="10" fontId="0" fillId="10" borderId="2" xfId="9" applyNumberFormat="1" applyFont="1" applyFill="1" applyBorder="1"/>
    <xf numFmtId="0" fontId="0" fillId="10" borderId="0" xfId="0" applyFill="1"/>
    <xf numFmtId="10" fontId="0" fillId="10" borderId="0" xfId="0" applyNumberFormat="1" applyFill="1"/>
    <xf numFmtId="0" fontId="0" fillId="12" borderId="0" xfId="0" applyFill="1"/>
    <xf numFmtId="0" fontId="0" fillId="12" borderId="12" xfId="0" applyFill="1" applyBorder="1"/>
    <xf numFmtId="0" fontId="0" fillId="0" borderId="7" xfId="0" applyBorder="1"/>
    <xf numFmtId="43" fontId="0" fillId="12" borderId="7" xfId="0" applyNumberFormat="1" applyFill="1" applyBorder="1"/>
    <xf numFmtId="43" fontId="0" fillId="0" borderId="7" xfId="0" applyNumberFormat="1" applyBorder="1"/>
    <xf numFmtId="10" fontId="14" fillId="12" borderId="7" xfId="9" applyNumberFormat="1" applyFont="1" applyFill="1" applyBorder="1"/>
    <xf numFmtId="10" fontId="14" fillId="0" borderId="7" xfId="9" applyNumberFormat="1" applyFont="1" applyBorder="1"/>
    <xf numFmtId="0" fontId="11" fillId="0" borderId="7" xfId="0" applyFont="1" applyBorder="1"/>
    <xf numFmtId="10" fontId="0" fillId="0" borderId="7" xfId="0" applyNumberFormat="1" applyBorder="1"/>
    <xf numFmtId="0" fontId="0" fillId="12" borderId="7" xfId="0" applyFill="1" applyBorder="1"/>
    <xf numFmtId="177" fontId="0" fillId="0" borderId="7" xfId="0" applyNumberFormat="1" applyBorder="1"/>
    <xf numFmtId="0" fontId="8" fillId="13" borderId="0" xfId="0" applyFont="1" applyFill="1"/>
    <xf numFmtId="0" fontId="0" fillId="13" borderId="0" xfId="0" applyFill="1"/>
    <xf numFmtId="175" fontId="8" fillId="13" borderId="0" xfId="0" applyNumberFormat="1" applyFont="1" applyFill="1"/>
    <xf numFmtId="176" fontId="8" fillId="13" borderId="0" xfId="0" applyNumberFormat="1" applyFont="1" applyFill="1"/>
    <xf numFmtId="43" fontId="9" fillId="0" borderId="12" xfId="0" applyNumberFormat="1" applyFont="1" applyBorder="1"/>
    <xf numFmtId="43" fontId="9" fillId="0" borderId="0" xfId="0" applyNumberFormat="1" applyFont="1"/>
    <xf numFmtId="2" fontId="9" fillId="0" borderId="12" xfId="0" applyNumberFormat="1" applyFont="1" applyBorder="1"/>
    <xf numFmtId="178" fontId="11" fillId="0" borderId="0" xfId="9" applyNumberFormat="1" applyFont="1"/>
    <xf numFmtId="178" fontId="11" fillId="10" borderId="0" xfId="9" applyNumberFormat="1" applyFont="1" applyFill="1"/>
    <xf numFmtId="178" fontId="11" fillId="0" borderId="0" xfId="9" applyNumberFormat="1" applyFont="1" applyFill="1"/>
    <xf numFmtId="173" fontId="0" fillId="0" borderId="13" xfId="0" applyNumberFormat="1" applyBorder="1"/>
    <xf numFmtId="173" fontId="0" fillId="0" borderId="4" xfId="0" applyNumberFormat="1" applyBorder="1"/>
    <xf numFmtId="173" fontId="0" fillId="0" borderId="14" xfId="0" applyNumberFormat="1" applyBorder="1"/>
    <xf numFmtId="173" fontId="0" fillId="0" borderId="15" xfId="0" applyNumberFormat="1" applyBorder="1"/>
    <xf numFmtId="173" fontId="0" fillId="14" borderId="0" xfId="0" applyNumberFormat="1" applyFill="1"/>
    <xf numFmtId="173" fontId="0" fillId="0" borderId="16" xfId="0" applyNumberFormat="1" applyBorder="1"/>
    <xf numFmtId="173" fontId="0" fillId="0" borderId="17" xfId="0" applyNumberFormat="1" applyBorder="1"/>
    <xf numFmtId="173" fontId="0" fillId="0" borderId="5" xfId="0" applyNumberFormat="1" applyBorder="1"/>
    <xf numFmtId="173" fontId="0" fillId="0" borderId="18" xfId="0" applyNumberFormat="1" applyBorder="1"/>
    <xf numFmtId="43" fontId="15" fillId="14" borderId="13" xfId="0" applyNumberFormat="1" applyFont="1" applyFill="1" applyBorder="1"/>
    <xf numFmtId="10" fontId="9" fillId="14" borderId="4" xfId="0" applyNumberFormat="1" applyFont="1" applyFill="1" applyBorder="1"/>
    <xf numFmtId="10" fontId="9" fillId="14" borderId="14" xfId="0" applyNumberFormat="1" applyFont="1" applyFill="1" applyBorder="1"/>
    <xf numFmtId="10" fontId="9" fillId="14" borderId="15" xfId="0" applyNumberFormat="1" applyFont="1" applyFill="1" applyBorder="1" applyAlignment="1">
      <alignment horizontal="left"/>
    </xf>
    <xf numFmtId="10" fontId="9" fillId="14" borderId="17" xfId="0" applyNumberFormat="1" applyFont="1" applyFill="1" applyBorder="1" applyAlignment="1">
      <alignment horizontal="left"/>
    </xf>
    <xf numFmtId="10" fontId="9" fillId="0" borderId="19" xfId="0" applyNumberFormat="1" applyFont="1" applyBorder="1" applyAlignment="1">
      <alignment horizontal="left"/>
    </xf>
    <xf numFmtId="10" fontId="9" fillId="0" borderId="19" xfId="0" applyNumberFormat="1" applyFont="1" applyBorder="1"/>
    <xf numFmtId="179" fontId="0" fillId="0" borderId="0" xfId="0" applyNumberFormat="1"/>
    <xf numFmtId="179" fontId="9" fillId="0" borderId="6" xfId="0" applyNumberFormat="1" applyFont="1" applyBorder="1"/>
    <xf numFmtId="179" fontId="0" fillId="0" borderId="6" xfId="0" applyNumberFormat="1" applyBorder="1"/>
    <xf numFmtId="179" fontId="9" fillId="0" borderId="20" xfId="0" applyNumberFormat="1" applyFont="1" applyBorder="1"/>
    <xf numFmtId="0" fontId="9" fillId="0" borderId="21" xfId="0" applyFont="1" applyBorder="1"/>
    <xf numFmtId="0" fontId="0" fillId="0" borderId="21" xfId="0" applyBorder="1"/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10" fontId="9" fillId="0" borderId="20" xfId="0" applyNumberFormat="1" applyFont="1" applyBorder="1"/>
    <xf numFmtId="0" fontId="9" fillId="15" borderId="0" xfId="0" applyFont="1" applyFill="1"/>
    <xf numFmtId="17" fontId="9" fillId="15" borderId="0" xfId="0" applyNumberFormat="1" applyFont="1" applyFill="1"/>
    <xf numFmtId="43" fontId="2" fillId="0" borderId="16" xfId="1" applyFont="1" applyBorder="1"/>
    <xf numFmtId="0" fontId="9" fillId="0" borderId="25" xfId="0" applyFont="1" applyBorder="1"/>
    <xf numFmtId="43" fontId="0" fillId="0" borderId="16" xfId="1" applyFont="1" applyBorder="1"/>
    <xf numFmtId="43" fontId="3" fillId="0" borderId="16" xfId="1" applyFont="1" applyBorder="1"/>
    <xf numFmtId="43" fontId="3" fillId="0" borderId="26" xfId="1" applyFont="1" applyFill="1" applyBorder="1"/>
    <xf numFmtId="43" fontId="3" fillId="0" borderId="26" xfId="1" applyFont="1" applyBorder="1"/>
    <xf numFmtId="180" fontId="0" fillId="0" borderId="0" xfId="9" applyNumberFormat="1" applyFont="1"/>
    <xf numFmtId="180" fontId="9" fillId="0" borderId="27" xfId="9" applyNumberFormat="1" applyFont="1" applyBorder="1"/>
    <xf numFmtId="180" fontId="9" fillId="0" borderId="6" xfId="9" applyNumberFormat="1" applyFont="1" applyBorder="1"/>
    <xf numFmtId="180" fontId="0" fillId="0" borderId="6" xfId="9" applyNumberFormat="1" applyFont="1" applyBorder="1"/>
    <xf numFmtId="10" fontId="9" fillId="0" borderId="20" xfId="9" applyNumberFormat="1" applyFont="1" applyBorder="1"/>
    <xf numFmtId="0" fontId="9" fillId="16" borderId="0" xfId="0" applyFont="1" applyFill="1"/>
    <xf numFmtId="17" fontId="9" fillId="16" borderId="0" xfId="0" applyNumberFormat="1" applyFont="1" applyFill="1"/>
    <xf numFmtId="0" fontId="0" fillId="0" borderId="6" xfId="0" applyBorder="1"/>
    <xf numFmtId="173" fontId="9" fillId="0" borderId="6" xfId="0" applyNumberFormat="1" applyFont="1" applyBorder="1"/>
    <xf numFmtId="17" fontId="8" fillId="8" borderId="0" xfId="0" applyNumberFormat="1" applyFont="1" applyFill="1"/>
    <xf numFmtId="0" fontId="8" fillId="8" borderId="0" xfId="0" applyFont="1" applyFill="1"/>
    <xf numFmtId="43" fontId="5" fillId="0" borderId="0" xfId="4" applyNumberFormat="1" applyBorder="1" applyAlignment="1" applyProtection="1">
      <alignment horizontal="center"/>
    </xf>
    <xf numFmtId="43" fontId="4" fillId="4" borderId="0" xfId="7" applyNumberFormat="1" applyFont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</cellXfs>
  <cellStyles count="10">
    <cellStyle name="60% - Accent1 2" xfId="5" xr:uid="{2BE050BD-C6E6-4078-BCA8-6598F00167A4}"/>
    <cellStyle name="60% - Accent3 2" xfId="6" xr:uid="{D044902B-1C38-49C1-B945-1ABB16D0AD35}"/>
    <cellStyle name="Accent6 2" xfId="7" xr:uid="{3E8732C2-4166-4249-8EE4-50DD9AE05FFD}"/>
    <cellStyle name="Comma" xfId="1" builtinId="3"/>
    <cellStyle name="Comma 2" xfId="3" xr:uid="{8DD4F29F-7F32-4478-8F40-2B3627971294}"/>
    <cellStyle name="Hyperlink" xfId="4" builtinId="8"/>
    <cellStyle name="Normal" xfId="0" builtinId="0"/>
    <cellStyle name="Normal 2" xfId="2" xr:uid="{959AF0EC-C170-432D-A0ED-608F9C1D32A9}"/>
    <cellStyle name="Percent" xfId="9" builtinId="5"/>
    <cellStyle name="Percent 2" xfId="8" xr:uid="{F903F2BE-25D6-443F-AE48-C929E348481E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67FDEB-F383-410A-B285-8E3B2554B7D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ZVjFW0ZXuS84_FpSUDla-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700E-38DA-4EBA-B628-623D97631F7B}">
  <sheetPr>
    <tabColor rgb="FFFF0000"/>
  </sheetPr>
  <dimension ref="A1:K92"/>
  <sheetViews>
    <sheetView workbookViewId="0">
      <selection activeCell="G62" sqref="G62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1</v>
      </c>
      <c r="E1" s="167" t="str">
        <f>IF(B2&lt;&gt;B3, "A NEW VERSION OF THE WORKSHEET IS AVAILABLE", "")</f>
        <v/>
      </c>
      <c r="F1" s="167"/>
      <c r="G1" s="167"/>
      <c r="H1" s="167"/>
      <c r="I1" s="167"/>
      <c r="J1" s="167"/>
      <c r="K1" s="167"/>
    </row>
    <row r="2" spans="1:11" x14ac:dyDescent="0.3">
      <c r="A2" s="1" t="s">
        <v>2</v>
      </c>
      <c r="B2" s="2">
        <v>2.1</v>
      </c>
      <c r="E2" s="168" t="s">
        <v>3</v>
      </c>
      <c r="F2" s="168"/>
      <c r="G2" s="168"/>
      <c r="H2" s="168"/>
      <c r="I2" s="168"/>
      <c r="J2" s="168"/>
      <c r="K2" s="168"/>
    </row>
    <row r="3" spans="1:11" x14ac:dyDescent="0.3">
      <c r="A3" s="1" t="s">
        <v>4</v>
      </c>
      <c r="B3" s="2">
        <v>2.1</v>
      </c>
    </row>
    <row r="4" spans="1:11" x14ac:dyDescent="0.3">
      <c r="A4" s="1"/>
    </row>
    <row r="5" spans="1:11" x14ac:dyDescent="0.3">
      <c r="A5" s="1" t="s">
        <v>5</v>
      </c>
    </row>
    <row r="6" spans="1:11" x14ac:dyDescent="0.3">
      <c r="A6" s="2" t="s">
        <v>6</v>
      </c>
      <c r="B6" s="2">
        <f>IF(B9&gt;0, B9/B8, 0)</f>
        <v>368.11891574230521</v>
      </c>
    </row>
    <row r="7" spans="1:11" x14ac:dyDescent="0.3">
      <c r="A7" s="2" t="s">
        <v>7</v>
      </c>
      <c r="B7">
        <v>2</v>
      </c>
    </row>
    <row r="8" spans="1:11" x14ac:dyDescent="0.3">
      <c r="A8" s="2" t="s">
        <v>8</v>
      </c>
      <c r="B8">
        <v>680.65</v>
      </c>
    </row>
    <row r="9" spans="1:11" x14ac:dyDescent="0.3">
      <c r="A9" s="2" t="s">
        <v>9</v>
      </c>
      <c r="B9">
        <v>250560.14</v>
      </c>
    </row>
    <row r="15" spans="1:11" x14ac:dyDescent="0.3">
      <c r="A15" s="1" t="s">
        <v>10</v>
      </c>
    </row>
    <row r="16" spans="1:11" s="5" customFormat="1" x14ac:dyDescent="0.3">
      <c r="A16" s="3" t="s">
        <v>11</v>
      </c>
      <c r="B16" s="4">
        <v>42094</v>
      </c>
      <c r="C16" s="4">
        <v>42460</v>
      </c>
      <c r="D16" s="4">
        <v>42825</v>
      </c>
      <c r="E16" s="4">
        <v>43190</v>
      </c>
      <c r="F16" s="4">
        <v>43555</v>
      </c>
      <c r="G16" s="4">
        <v>43921</v>
      </c>
      <c r="H16" s="4">
        <v>44286</v>
      </c>
      <c r="I16" s="4">
        <v>44651</v>
      </c>
      <c r="J16" s="4">
        <v>45016</v>
      </c>
      <c r="K16" s="4">
        <v>45382</v>
      </c>
    </row>
    <row r="17" spans="1:11" s="6" customFormat="1" x14ac:dyDescent="0.3">
      <c r="A17" s="6" t="s">
        <v>12</v>
      </c>
      <c r="B17">
        <v>263158.98</v>
      </c>
      <c r="C17">
        <v>273045.59999999998</v>
      </c>
      <c r="D17">
        <v>269692.51</v>
      </c>
      <c r="E17">
        <v>291550.48</v>
      </c>
      <c r="F17">
        <v>301938.40000000002</v>
      </c>
      <c r="G17">
        <v>261067.97</v>
      </c>
      <c r="H17">
        <v>249794.75</v>
      </c>
      <c r="I17">
        <v>278453.62</v>
      </c>
      <c r="J17">
        <v>345966.97</v>
      </c>
      <c r="K17">
        <v>437927.77</v>
      </c>
    </row>
    <row r="18" spans="1:11" s="6" customFormat="1" x14ac:dyDescent="0.3">
      <c r="A18" s="2" t="s">
        <v>13</v>
      </c>
      <c r="B18">
        <v>163250.35999999999</v>
      </c>
      <c r="C18">
        <v>166134.01</v>
      </c>
      <c r="D18">
        <v>173294.07999999999</v>
      </c>
      <c r="E18">
        <v>187896.58</v>
      </c>
      <c r="F18">
        <v>194267.91</v>
      </c>
      <c r="G18">
        <v>164899.82</v>
      </c>
      <c r="H18">
        <v>153607.35999999999</v>
      </c>
      <c r="I18">
        <v>179295.33</v>
      </c>
      <c r="J18">
        <v>231251.26</v>
      </c>
      <c r="K18">
        <v>274321.23</v>
      </c>
    </row>
    <row r="19" spans="1:11" s="6" customFormat="1" x14ac:dyDescent="0.3">
      <c r="A19" s="2" t="s">
        <v>14</v>
      </c>
      <c r="B19">
        <v>3330.35</v>
      </c>
      <c r="C19">
        <v>2750.99</v>
      </c>
      <c r="D19">
        <v>7399.92</v>
      </c>
      <c r="E19">
        <v>2046.58</v>
      </c>
      <c r="F19">
        <v>-2053.2800000000002</v>
      </c>
      <c r="G19">
        <v>-2231.19</v>
      </c>
      <c r="H19">
        <v>-4684.16</v>
      </c>
      <c r="I19">
        <v>-1590.49</v>
      </c>
      <c r="J19">
        <v>4781.62</v>
      </c>
      <c r="K19">
        <v>1565.53</v>
      </c>
    </row>
    <row r="20" spans="1:11" s="6" customFormat="1" x14ac:dyDescent="0.3">
      <c r="A20" s="2" t="s">
        <v>15</v>
      </c>
      <c r="B20">
        <v>1121.75</v>
      </c>
      <c r="C20">
        <v>1143.6300000000001</v>
      </c>
      <c r="D20">
        <v>1159.82</v>
      </c>
      <c r="E20">
        <v>1308.08</v>
      </c>
      <c r="F20">
        <v>1585.93</v>
      </c>
      <c r="G20">
        <v>1264.95</v>
      </c>
      <c r="H20">
        <v>1112.8699999999999</v>
      </c>
      <c r="I20">
        <v>2178.29</v>
      </c>
      <c r="J20">
        <v>2513.33</v>
      </c>
      <c r="K20">
        <v>2195.12</v>
      </c>
    </row>
    <row r="21" spans="1:11" s="6" customFormat="1" x14ac:dyDescent="0.3">
      <c r="A21" s="2" t="s">
        <v>16</v>
      </c>
      <c r="B21">
        <v>16173.17</v>
      </c>
      <c r="C21">
        <v>12101.53</v>
      </c>
      <c r="D21">
        <v>10067.370000000001</v>
      </c>
      <c r="E21">
        <v>10971.66</v>
      </c>
      <c r="F21">
        <v>11694.54</v>
      </c>
      <c r="G21">
        <v>11541.51</v>
      </c>
      <c r="H21">
        <v>8273.17</v>
      </c>
      <c r="I21">
        <v>9427.3799999999992</v>
      </c>
      <c r="J21">
        <v>11765.97</v>
      </c>
      <c r="K21">
        <v>17114.330000000002</v>
      </c>
    </row>
    <row r="22" spans="1:11" s="6" customFormat="1" x14ac:dyDescent="0.3">
      <c r="A22" s="2" t="s">
        <v>17</v>
      </c>
      <c r="B22">
        <v>25641.95</v>
      </c>
      <c r="C22">
        <v>28880.89</v>
      </c>
      <c r="D22">
        <v>28332.89</v>
      </c>
      <c r="E22">
        <v>30300.09</v>
      </c>
      <c r="F22">
        <v>33243.870000000003</v>
      </c>
      <c r="G22">
        <v>30438.6</v>
      </c>
      <c r="H22">
        <v>27648.48</v>
      </c>
      <c r="I22">
        <v>30808.52</v>
      </c>
      <c r="J22">
        <v>33654.699999999997</v>
      </c>
      <c r="K22">
        <v>42486.64</v>
      </c>
    </row>
    <row r="23" spans="1:11" s="6" customFormat="1" x14ac:dyDescent="0.3">
      <c r="A23" s="2" t="s">
        <v>18</v>
      </c>
      <c r="B23">
        <v>23603.01</v>
      </c>
      <c r="C23">
        <v>21991.9</v>
      </c>
      <c r="D23">
        <v>30039.38</v>
      </c>
      <c r="E23">
        <v>31004.58</v>
      </c>
      <c r="F23">
        <v>32719.8</v>
      </c>
      <c r="G23">
        <v>29248.32</v>
      </c>
      <c r="H23">
        <v>23015.79</v>
      </c>
      <c r="I23">
        <v>29205.4</v>
      </c>
      <c r="J23">
        <v>34839.19</v>
      </c>
      <c r="K23">
        <v>42765.33</v>
      </c>
    </row>
    <row r="24" spans="1:11" s="6" customFormat="1" x14ac:dyDescent="0.3">
      <c r="A24" s="2" t="s">
        <v>19</v>
      </c>
      <c r="B24">
        <v>-2539.56</v>
      </c>
      <c r="C24">
        <v>7149.38</v>
      </c>
      <c r="D24">
        <v>4610.2</v>
      </c>
      <c r="E24">
        <v>658.39</v>
      </c>
      <c r="F24">
        <v>1708.74</v>
      </c>
      <c r="G24">
        <v>3456.51</v>
      </c>
      <c r="H24">
        <v>-834.51</v>
      </c>
      <c r="I24">
        <v>1228.1199999999999</v>
      </c>
      <c r="J24">
        <v>4908.34</v>
      </c>
      <c r="K24">
        <v>1072.31</v>
      </c>
    </row>
    <row r="25" spans="1:11" s="6" customFormat="1" x14ac:dyDescent="0.3">
      <c r="A25" s="6" t="s">
        <v>20</v>
      </c>
      <c r="B25">
        <v>714.03</v>
      </c>
      <c r="C25">
        <v>-2669.62</v>
      </c>
      <c r="D25">
        <v>1869.1</v>
      </c>
      <c r="E25">
        <v>5932.73</v>
      </c>
      <c r="F25">
        <v>-26686.25</v>
      </c>
      <c r="G25">
        <v>101.71</v>
      </c>
      <c r="H25">
        <v>-11117.83</v>
      </c>
      <c r="I25">
        <v>2424.0500000000002</v>
      </c>
      <c r="J25">
        <v>6663.97</v>
      </c>
      <c r="K25">
        <v>5672.66</v>
      </c>
    </row>
    <row r="26" spans="1:11" s="6" customFormat="1" x14ac:dyDescent="0.3">
      <c r="A26" s="6" t="s">
        <v>21</v>
      </c>
      <c r="B26">
        <v>13388.63</v>
      </c>
      <c r="C26">
        <v>16710.78</v>
      </c>
      <c r="D26">
        <v>17904.990000000002</v>
      </c>
      <c r="E26">
        <v>21553.59</v>
      </c>
      <c r="F26">
        <v>23590.63</v>
      </c>
      <c r="G26">
        <v>21425.43</v>
      </c>
      <c r="H26">
        <v>23546.71</v>
      </c>
      <c r="I26">
        <v>24835.69</v>
      </c>
      <c r="J26">
        <v>24860.36</v>
      </c>
      <c r="K26">
        <v>27270.13</v>
      </c>
    </row>
    <row r="27" spans="1:11" s="6" customFormat="1" x14ac:dyDescent="0.3">
      <c r="A27" s="6" t="s">
        <v>22</v>
      </c>
      <c r="B27">
        <v>4861.49</v>
      </c>
      <c r="C27">
        <v>4889.08</v>
      </c>
      <c r="D27">
        <v>4238.01</v>
      </c>
      <c r="E27">
        <v>4681.79</v>
      </c>
      <c r="F27">
        <v>5758.6</v>
      </c>
      <c r="G27">
        <v>7243.33</v>
      </c>
      <c r="H27">
        <v>8097.17</v>
      </c>
      <c r="I27">
        <v>9311.86</v>
      </c>
      <c r="J27">
        <v>10225.48</v>
      </c>
      <c r="K27">
        <v>9985.76</v>
      </c>
    </row>
    <row r="28" spans="1:11" s="6" customFormat="1" x14ac:dyDescent="0.3">
      <c r="A28" s="6" t="s">
        <v>23</v>
      </c>
      <c r="B28">
        <v>21702.560000000001</v>
      </c>
      <c r="C28">
        <v>14125.77</v>
      </c>
      <c r="D28">
        <v>9314.7900000000009</v>
      </c>
      <c r="E28">
        <v>11155.03</v>
      </c>
      <c r="F28">
        <v>-31371.15</v>
      </c>
      <c r="G28">
        <v>-10579.98</v>
      </c>
      <c r="H28">
        <v>-10474.280000000001</v>
      </c>
      <c r="I28">
        <v>-7003.41</v>
      </c>
      <c r="J28">
        <v>3393.93</v>
      </c>
      <c r="K28">
        <v>27955.11</v>
      </c>
    </row>
    <row r="29" spans="1:11" s="6" customFormat="1" x14ac:dyDescent="0.3">
      <c r="A29" s="6" t="s">
        <v>24</v>
      </c>
      <c r="B29">
        <v>7642.91</v>
      </c>
      <c r="C29">
        <v>3025.05</v>
      </c>
      <c r="D29">
        <v>3251.23</v>
      </c>
      <c r="E29">
        <v>4341.93</v>
      </c>
      <c r="F29">
        <v>-2437.4499999999998</v>
      </c>
      <c r="G29">
        <v>395.25</v>
      </c>
      <c r="H29">
        <v>2541.86</v>
      </c>
      <c r="I29">
        <v>4231.29</v>
      </c>
      <c r="J29">
        <v>704.06</v>
      </c>
      <c r="K29">
        <v>-3851.64</v>
      </c>
    </row>
    <row r="30" spans="1:11" s="6" customFormat="1" x14ac:dyDescent="0.3">
      <c r="A30" s="6" t="s">
        <v>25</v>
      </c>
      <c r="B30">
        <v>13986.29</v>
      </c>
      <c r="C30">
        <v>11579.31</v>
      </c>
      <c r="D30">
        <v>7454.36</v>
      </c>
      <c r="E30">
        <v>8988.91</v>
      </c>
      <c r="F30">
        <v>-28826.23</v>
      </c>
      <c r="G30">
        <v>-12070.85</v>
      </c>
      <c r="H30">
        <v>-13451.39</v>
      </c>
      <c r="I30">
        <v>-11441.47</v>
      </c>
      <c r="J30">
        <v>2414.29</v>
      </c>
      <c r="K30">
        <v>31399.09</v>
      </c>
    </row>
    <row r="31" spans="1:11" s="6" customFormat="1" x14ac:dyDescent="0.3">
      <c r="A31" s="6" t="s">
        <v>26</v>
      </c>
      <c r="C31">
        <v>67.92</v>
      </c>
      <c r="J31">
        <v>766.02</v>
      </c>
      <c r="K31">
        <v>2299.5</v>
      </c>
    </row>
    <row r="32" spans="1:11" s="6" customFormat="1" x14ac:dyDescent="0.3"/>
    <row r="33" spans="1:11" x14ac:dyDescent="0.3">
      <c r="A33" s="6"/>
    </row>
    <row r="34" spans="1:11" x14ac:dyDescent="0.3">
      <c r="A34" s="6"/>
      <c r="B34" s="2">
        <f>B30+B26+B27+B29</f>
        <v>39879.319999999992</v>
      </c>
      <c r="C34" s="2">
        <f>C30+C26+C27+C29</f>
        <v>36204.22</v>
      </c>
      <c r="D34" s="2">
        <f t="shared" ref="D34:J34" si="0">D30+D26+D27+D29</f>
        <v>32848.590000000004</v>
      </c>
      <c r="E34" s="2">
        <f t="shared" si="0"/>
        <v>39566.22</v>
      </c>
      <c r="F34" s="2">
        <f t="shared" si="0"/>
        <v>-1914.449999999998</v>
      </c>
      <c r="G34" s="2">
        <f t="shared" si="0"/>
        <v>16993.16</v>
      </c>
      <c r="H34" s="2">
        <f t="shared" si="0"/>
        <v>20734.349999999999</v>
      </c>
      <c r="I34" s="2">
        <f t="shared" si="0"/>
        <v>26937.370000000003</v>
      </c>
      <c r="J34" s="2">
        <f t="shared" si="0"/>
        <v>38204.19</v>
      </c>
      <c r="K34" s="2">
        <f>K30+K26+K27+K29</f>
        <v>64803.34</v>
      </c>
    </row>
    <row r="35" spans="1:11" x14ac:dyDescent="0.3">
      <c r="A35" s="6" t="s">
        <v>199</v>
      </c>
      <c r="B35" s="2">
        <f t="shared" ref="B35:K35" si="1">B30+B27+B29</f>
        <v>26490.69</v>
      </c>
      <c r="C35" s="2">
        <f t="shared" si="1"/>
        <v>19493.439999999999</v>
      </c>
      <c r="D35" s="2">
        <f t="shared" si="1"/>
        <v>14943.599999999999</v>
      </c>
      <c r="E35" s="2">
        <f t="shared" si="1"/>
        <v>18012.63</v>
      </c>
      <c r="F35" s="2">
        <f t="shared" si="1"/>
        <v>-25505.079999999998</v>
      </c>
      <c r="G35" s="2">
        <f t="shared" si="1"/>
        <v>-4432.2700000000004</v>
      </c>
      <c r="H35" s="2">
        <f t="shared" si="1"/>
        <v>-2812.3599999999992</v>
      </c>
      <c r="I35" s="2">
        <f t="shared" si="1"/>
        <v>2101.6800000000012</v>
      </c>
      <c r="J35" s="2">
        <f t="shared" si="1"/>
        <v>13343.83</v>
      </c>
      <c r="K35" s="2">
        <f t="shared" si="1"/>
        <v>37533.21</v>
      </c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1" t="s">
        <v>27</v>
      </c>
    </row>
    <row r="40" spans="1:11" s="5" customFormat="1" x14ac:dyDescent="0.3">
      <c r="A40" s="3" t="s">
        <v>11</v>
      </c>
      <c r="B40" s="4">
        <v>44834</v>
      </c>
      <c r="C40" s="4">
        <v>44926</v>
      </c>
      <c r="D40" s="4">
        <v>45016</v>
      </c>
      <c r="E40" s="4">
        <v>45107</v>
      </c>
      <c r="F40" s="4">
        <v>45199</v>
      </c>
      <c r="G40" s="4">
        <v>45291</v>
      </c>
      <c r="H40" s="4">
        <v>45382</v>
      </c>
      <c r="I40" s="4">
        <v>45473</v>
      </c>
      <c r="J40" s="4">
        <v>45565</v>
      </c>
      <c r="K40" s="4">
        <v>45657</v>
      </c>
    </row>
    <row r="41" spans="1:11" s="6" customFormat="1" x14ac:dyDescent="0.3">
      <c r="A41" s="6" t="s">
        <v>12</v>
      </c>
      <c r="B41">
        <v>79611.37</v>
      </c>
      <c r="C41">
        <v>88488.59</v>
      </c>
      <c r="D41">
        <v>105932.35</v>
      </c>
      <c r="E41">
        <v>102236</v>
      </c>
      <c r="F41">
        <v>105129</v>
      </c>
      <c r="G41">
        <v>110577</v>
      </c>
      <c r="H41">
        <v>119986</v>
      </c>
      <c r="I41">
        <v>108048</v>
      </c>
      <c r="J41">
        <v>101450</v>
      </c>
      <c r="K41">
        <v>113575</v>
      </c>
    </row>
    <row r="42" spans="1:11" s="6" customFormat="1" x14ac:dyDescent="0.3">
      <c r="A42" s="6" t="s">
        <v>28</v>
      </c>
      <c r="B42">
        <v>74039.06</v>
      </c>
      <c r="C42">
        <v>77668.350000000006</v>
      </c>
      <c r="D42">
        <v>92817.95</v>
      </c>
      <c r="E42">
        <v>89019</v>
      </c>
      <c r="F42">
        <v>91362</v>
      </c>
      <c r="G42">
        <v>95159</v>
      </c>
      <c r="H42">
        <v>102851</v>
      </c>
      <c r="I42">
        <v>92263</v>
      </c>
      <c r="J42">
        <v>89291</v>
      </c>
      <c r="K42">
        <v>100532</v>
      </c>
    </row>
    <row r="43" spans="1:11" s="6" customFormat="1" x14ac:dyDescent="0.3">
      <c r="A43" s="6" t="s">
        <v>20</v>
      </c>
      <c r="B43">
        <v>1351.14</v>
      </c>
      <c r="C43">
        <v>1129.98</v>
      </c>
      <c r="D43">
        <v>1452.86</v>
      </c>
      <c r="E43">
        <v>895</v>
      </c>
      <c r="F43">
        <v>1557</v>
      </c>
      <c r="G43">
        <v>1604</v>
      </c>
      <c r="H43">
        <v>1619</v>
      </c>
      <c r="I43">
        <v>1747</v>
      </c>
      <c r="J43">
        <v>1647</v>
      </c>
      <c r="K43">
        <v>1764</v>
      </c>
    </row>
    <row r="44" spans="1:11" s="6" customFormat="1" x14ac:dyDescent="0.3">
      <c r="A44" s="6" t="s">
        <v>21</v>
      </c>
      <c r="B44">
        <v>5897.34</v>
      </c>
      <c r="C44">
        <v>6071.78</v>
      </c>
      <c r="D44">
        <v>7050.2</v>
      </c>
      <c r="E44">
        <v>6633</v>
      </c>
      <c r="F44">
        <v>6637</v>
      </c>
      <c r="G44">
        <v>6850</v>
      </c>
      <c r="H44">
        <v>7151</v>
      </c>
      <c r="I44">
        <v>6574</v>
      </c>
      <c r="J44">
        <v>6005</v>
      </c>
      <c r="K44">
        <v>5408</v>
      </c>
    </row>
    <row r="45" spans="1:11" s="6" customFormat="1" x14ac:dyDescent="0.3">
      <c r="A45" s="6" t="s">
        <v>22</v>
      </c>
      <c r="B45">
        <v>2487.2600000000002</v>
      </c>
      <c r="C45">
        <v>2675.83</v>
      </c>
      <c r="D45">
        <v>2641.67</v>
      </c>
      <c r="E45">
        <v>2615</v>
      </c>
      <c r="F45">
        <v>2652</v>
      </c>
      <c r="G45">
        <v>2485</v>
      </c>
      <c r="H45">
        <v>2234</v>
      </c>
      <c r="I45">
        <v>2088</v>
      </c>
      <c r="J45">
        <v>2034</v>
      </c>
      <c r="K45">
        <v>1725</v>
      </c>
    </row>
    <row r="46" spans="1:11" s="6" customFormat="1" x14ac:dyDescent="0.3">
      <c r="A46" s="6" t="s">
        <v>23</v>
      </c>
      <c r="B46">
        <v>-1461.15</v>
      </c>
      <c r="C46">
        <v>3202.61</v>
      </c>
      <c r="D46">
        <v>4875.3900000000003</v>
      </c>
      <c r="E46">
        <v>4864</v>
      </c>
      <c r="F46">
        <v>6035</v>
      </c>
      <c r="G46">
        <v>7687</v>
      </c>
      <c r="H46">
        <v>9369</v>
      </c>
      <c r="I46">
        <v>8870</v>
      </c>
      <c r="J46">
        <v>5767</v>
      </c>
      <c r="K46">
        <v>7674</v>
      </c>
    </row>
    <row r="47" spans="1:11" s="6" customFormat="1" x14ac:dyDescent="0.3">
      <c r="A47" s="6" t="s">
        <v>24</v>
      </c>
      <c r="B47">
        <v>-457.08</v>
      </c>
      <c r="C47">
        <v>262.83</v>
      </c>
      <c r="D47">
        <v>-620.65</v>
      </c>
      <c r="E47">
        <v>1563</v>
      </c>
      <c r="F47">
        <v>2203</v>
      </c>
      <c r="G47">
        <v>542</v>
      </c>
      <c r="H47">
        <v>-8160</v>
      </c>
      <c r="I47">
        <v>3178</v>
      </c>
      <c r="J47">
        <v>2317</v>
      </c>
      <c r="K47">
        <v>2096</v>
      </c>
    </row>
    <row r="48" spans="1:11" s="6" customFormat="1" x14ac:dyDescent="0.3">
      <c r="A48" s="6" t="s">
        <v>25</v>
      </c>
      <c r="B48">
        <v>-944.61</v>
      </c>
      <c r="C48">
        <v>2957.71</v>
      </c>
      <c r="D48">
        <v>5407.79</v>
      </c>
      <c r="E48">
        <v>3203</v>
      </c>
      <c r="F48">
        <v>3764</v>
      </c>
      <c r="G48">
        <v>7025</v>
      </c>
      <c r="H48">
        <v>17407</v>
      </c>
      <c r="I48">
        <v>5566</v>
      </c>
      <c r="J48">
        <v>3343</v>
      </c>
      <c r="K48">
        <v>5451</v>
      </c>
    </row>
    <row r="49" spans="1:11" x14ac:dyDescent="0.3">
      <c r="A49" s="6" t="s">
        <v>29</v>
      </c>
      <c r="B49">
        <v>5572.31</v>
      </c>
      <c r="C49">
        <v>10820.24</v>
      </c>
      <c r="D49">
        <v>13114.4</v>
      </c>
      <c r="E49">
        <v>13217</v>
      </c>
      <c r="F49">
        <v>13767</v>
      </c>
      <c r="G49">
        <v>15418</v>
      </c>
      <c r="H49">
        <v>17135</v>
      </c>
      <c r="I49">
        <v>15785</v>
      </c>
      <c r="J49">
        <v>12159</v>
      </c>
      <c r="K49">
        <v>13043</v>
      </c>
    </row>
    <row r="50" spans="1:11" x14ac:dyDescent="0.3">
      <c r="A50" s="6"/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1" t="s">
        <v>30</v>
      </c>
    </row>
    <row r="55" spans="1:11" s="5" customFormat="1" x14ac:dyDescent="0.3">
      <c r="A55" s="3" t="s">
        <v>11</v>
      </c>
      <c r="B55" s="4">
        <v>42094</v>
      </c>
      <c r="C55" s="4">
        <v>42460</v>
      </c>
      <c r="D55" s="4">
        <v>42825</v>
      </c>
      <c r="E55" s="4">
        <v>43190</v>
      </c>
      <c r="F55" s="4">
        <v>43555</v>
      </c>
      <c r="G55" s="4">
        <v>43921</v>
      </c>
      <c r="H55" s="4">
        <v>44286</v>
      </c>
      <c r="I55" s="4">
        <v>44651</v>
      </c>
      <c r="J55" s="4">
        <v>45016</v>
      </c>
      <c r="K55" s="4">
        <v>45382</v>
      </c>
    </row>
    <row r="56" spans="1:11" x14ac:dyDescent="0.3">
      <c r="A56" s="6" t="s">
        <v>31</v>
      </c>
      <c r="B56">
        <v>643.78</v>
      </c>
      <c r="C56">
        <v>679.18</v>
      </c>
      <c r="D56">
        <v>679.22</v>
      </c>
      <c r="E56">
        <v>679.22</v>
      </c>
      <c r="F56">
        <v>679.22</v>
      </c>
      <c r="G56">
        <v>719.54</v>
      </c>
      <c r="H56">
        <v>765.81</v>
      </c>
      <c r="I56">
        <v>765.88</v>
      </c>
      <c r="J56">
        <v>766.02</v>
      </c>
      <c r="K56">
        <v>766.5</v>
      </c>
    </row>
    <row r="57" spans="1:11" x14ac:dyDescent="0.3">
      <c r="A57" s="6" t="s">
        <v>32</v>
      </c>
      <c r="B57">
        <v>55618.14</v>
      </c>
      <c r="C57">
        <v>78273.23</v>
      </c>
      <c r="D57">
        <v>57382.67</v>
      </c>
      <c r="E57">
        <v>94748.69</v>
      </c>
      <c r="F57">
        <v>59500.34</v>
      </c>
      <c r="G57">
        <v>62358.99</v>
      </c>
      <c r="H57">
        <v>54480.91</v>
      </c>
      <c r="I57">
        <v>43795.360000000001</v>
      </c>
      <c r="J57">
        <v>44555.77</v>
      </c>
      <c r="K57">
        <v>84151.52</v>
      </c>
    </row>
    <row r="58" spans="1:11" x14ac:dyDescent="0.3">
      <c r="A58" s="6" t="s">
        <v>33</v>
      </c>
      <c r="B58">
        <v>73610.39</v>
      </c>
      <c r="C58">
        <v>69359.960000000006</v>
      </c>
      <c r="D58">
        <v>78603.98</v>
      </c>
      <c r="E58">
        <v>88950.47</v>
      </c>
      <c r="F58">
        <v>106175.34</v>
      </c>
      <c r="G58">
        <v>124787.64</v>
      </c>
      <c r="H58">
        <v>142130.57</v>
      </c>
      <c r="I58">
        <v>146449.03</v>
      </c>
      <c r="J58">
        <v>134113.44</v>
      </c>
      <c r="K58">
        <v>107262.5</v>
      </c>
    </row>
    <row r="59" spans="1:11" x14ac:dyDescent="0.3">
      <c r="A59" s="6" t="s">
        <v>34</v>
      </c>
      <c r="B59">
        <v>107442.48</v>
      </c>
      <c r="C59">
        <v>114871.75</v>
      </c>
      <c r="D59">
        <v>135914.49</v>
      </c>
      <c r="E59">
        <v>142813.43</v>
      </c>
      <c r="F59">
        <v>139348.59</v>
      </c>
      <c r="G59">
        <v>132313.22</v>
      </c>
      <c r="H59">
        <v>144192.62</v>
      </c>
      <c r="I59">
        <v>138051.22</v>
      </c>
      <c r="J59">
        <v>155239.20000000001</v>
      </c>
      <c r="K59">
        <v>177340.09</v>
      </c>
    </row>
    <row r="60" spans="1:11" s="1" customFormat="1" x14ac:dyDescent="0.3">
      <c r="A60" s="1" t="s">
        <v>35</v>
      </c>
      <c r="B60">
        <v>237314.79</v>
      </c>
      <c r="C60">
        <v>263184.12</v>
      </c>
      <c r="D60">
        <v>272580.36</v>
      </c>
      <c r="E60">
        <v>327191.81</v>
      </c>
      <c r="F60">
        <v>305703.49</v>
      </c>
      <c r="G60">
        <v>320179.39</v>
      </c>
      <c r="H60">
        <v>341569.91</v>
      </c>
      <c r="I60">
        <v>329061.49</v>
      </c>
      <c r="J60">
        <v>334674.43</v>
      </c>
      <c r="K60">
        <v>369520.61</v>
      </c>
    </row>
    <row r="61" spans="1:11" x14ac:dyDescent="0.3">
      <c r="A61" s="6" t="s">
        <v>36</v>
      </c>
      <c r="B61">
        <v>88479.49</v>
      </c>
      <c r="C61">
        <v>107231.76</v>
      </c>
      <c r="D61">
        <v>95944.08</v>
      </c>
      <c r="E61">
        <v>121413.86</v>
      </c>
      <c r="F61">
        <v>111234.47</v>
      </c>
      <c r="G61">
        <v>127107.14</v>
      </c>
      <c r="H61">
        <v>138707.60999999999</v>
      </c>
      <c r="I61">
        <v>138855.45000000001</v>
      </c>
      <c r="J61">
        <v>132079.76</v>
      </c>
      <c r="K61">
        <v>121285.46</v>
      </c>
    </row>
    <row r="62" spans="1:11" x14ac:dyDescent="0.3">
      <c r="A62" s="6" t="s">
        <v>37</v>
      </c>
      <c r="B62">
        <v>28640.09</v>
      </c>
      <c r="C62">
        <v>25918.94</v>
      </c>
      <c r="D62">
        <v>33698.839999999997</v>
      </c>
      <c r="E62">
        <v>40033.5</v>
      </c>
      <c r="F62">
        <v>31883.84</v>
      </c>
      <c r="G62">
        <v>35622.29</v>
      </c>
      <c r="H62">
        <v>20963.93</v>
      </c>
      <c r="I62">
        <v>10251.09</v>
      </c>
      <c r="J62">
        <v>14274.5</v>
      </c>
      <c r="K62">
        <v>35698.43</v>
      </c>
    </row>
    <row r="63" spans="1:11" x14ac:dyDescent="0.3">
      <c r="A63" s="6" t="s">
        <v>38</v>
      </c>
      <c r="B63">
        <v>15336.74</v>
      </c>
      <c r="C63">
        <v>23767.02</v>
      </c>
      <c r="D63">
        <v>20337.919999999998</v>
      </c>
      <c r="E63">
        <v>20812.75</v>
      </c>
      <c r="F63">
        <v>15770.72</v>
      </c>
      <c r="G63">
        <v>16308.48</v>
      </c>
      <c r="H63">
        <v>24620.28</v>
      </c>
      <c r="I63">
        <v>29379.53</v>
      </c>
      <c r="J63">
        <v>26379.16</v>
      </c>
      <c r="K63">
        <v>22971.07</v>
      </c>
    </row>
    <row r="64" spans="1:11" x14ac:dyDescent="0.3">
      <c r="A64" s="6" t="s">
        <v>39</v>
      </c>
      <c r="B64">
        <v>104858.47</v>
      </c>
      <c r="C64">
        <v>106266.4</v>
      </c>
      <c r="D64">
        <v>122599.52</v>
      </c>
      <c r="E64">
        <v>144931.70000000001</v>
      </c>
      <c r="F64">
        <v>146814.46</v>
      </c>
      <c r="G64">
        <v>141141.48000000001</v>
      </c>
      <c r="H64">
        <v>157278.09</v>
      </c>
      <c r="I64">
        <v>150575.42000000001</v>
      </c>
      <c r="J64">
        <v>161941.01</v>
      </c>
      <c r="K64">
        <v>189565.65</v>
      </c>
    </row>
    <row r="65" spans="1:11" s="1" customFormat="1" x14ac:dyDescent="0.3">
      <c r="A65" s="1" t="s">
        <v>35</v>
      </c>
      <c r="B65">
        <v>237314.79</v>
      </c>
      <c r="C65">
        <v>263184.12</v>
      </c>
      <c r="D65">
        <v>272580.36</v>
      </c>
      <c r="E65">
        <v>327191.81</v>
      </c>
      <c r="F65">
        <v>305703.49</v>
      </c>
      <c r="G65">
        <v>320179.39</v>
      </c>
      <c r="H65">
        <v>341569.91</v>
      </c>
      <c r="I65">
        <v>329061.49</v>
      </c>
      <c r="J65">
        <v>334674.43</v>
      </c>
      <c r="K65">
        <v>369520.61</v>
      </c>
    </row>
    <row r="66" spans="1:11" s="6" customFormat="1" x14ac:dyDescent="0.3">
      <c r="A66" s="6" t="s">
        <v>40</v>
      </c>
      <c r="B66">
        <v>12579.2</v>
      </c>
      <c r="C66">
        <v>13570.91</v>
      </c>
      <c r="D66">
        <v>14075.55</v>
      </c>
      <c r="E66">
        <v>19893.3</v>
      </c>
      <c r="F66">
        <v>18996.169999999998</v>
      </c>
      <c r="G66">
        <v>11172.69</v>
      </c>
      <c r="H66">
        <v>12679.08</v>
      </c>
      <c r="I66">
        <v>12442.12</v>
      </c>
      <c r="J66">
        <v>15737.97</v>
      </c>
      <c r="K66">
        <v>16951.810000000001</v>
      </c>
    </row>
    <row r="67" spans="1:11" x14ac:dyDescent="0.3">
      <c r="A67" s="6" t="s">
        <v>41</v>
      </c>
      <c r="B67">
        <v>29272.34</v>
      </c>
      <c r="C67">
        <v>32655.73</v>
      </c>
      <c r="D67">
        <v>35085.31</v>
      </c>
      <c r="E67">
        <v>42137.63</v>
      </c>
      <c r="F67">
        <v>39013.730000000003</v>
      </c>
      <c r="G67">
        <v>37456.879999999997</v>
      </c>
      <c r="H67">
        <v>36088.589999999997</v>
      </c>
      <c r="I67">
        <v>35240.339999999997</v>
      </c>
      <c r="J67">
        <v>40755.39</v>
      </c>
      <c r="K67">
        <v>47788.29</v>
      </c>
    </row>
    <row r="68" spans="1:11" x14ac:dyDescent="0.3">
      <c r="A68" s="2" t="s">
        <v>42</v>
      </c>
      <c r="B68">
        <v>32115.759999999998</v>
      </c>
      <c r="C68">
        <v>30460.400000000001</v>
      </c>
      <c r="D68">
        <v>36077.879999999997</v>
      </c>
      <c r="E68">
        <v>34613.910000000003</v>
      </c>
      <c r="F68">
        <v>32648.82</v>
      </c>
      <c r="G68">
        <v>33726.97</v>
      </c>
      <c r="H68">
        <v>46792.46</v>
      </c>
      <c r="I68">
        <v>40669.19</v>
      </c>
      <c r="J68">
        <v>37015.56</v>
      </c>
      <c r="K68">
        <v>45806.69</v>
      </c>
    </row>
    <row r="69" spans="1:11" x14ac:dyDescent="0.3">
      <c r="A69" s="2" t="s">
        <v>43</v>
      </c>
      <c r="B69">
        <v>3218930067</v>
      </c>
      <c r="C69">
        <v>3395930306</v>
      </c>
      <c r="D69">
        <v>3396100719</v>
      </c>
      <c r="E69">
        <v>3396100719</v>
      </c>
      <c r="F69">
        <v>3396100719</v>
      </c>
      <c r="G69">
        <v>3597726185</v>
      </c>
      <c r="H69">
        <v>3829060661</v>
      </c>
      <c r="I69">
        <v>3829414903</v>
      </c>
      <c r="J69">
        <v>3830097221</v>
      </c>
      <c r="K69">
        <v>3832491897</v>
      </c>
    </row>
    <row r="70" spans="1:11" x14ac:dyDescent="0.3">
      <c r="A70" s="2" t="s">
        <v>44</v>
      </c>
    </row>
    <row r="71" spans="1:11" x14ac:dyDescent="0.3">
      <c r="A71" s="2" t="s">
        <v>45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3" spans="1:11" x14ac:dyDescent="0.3">
      <c r="A73" s="6"/>
      <c r="B73" s="2">
        <f>SUM(B66:B68)</f>
        <v>73967.3</v>
      </c>
      <c r="C73" s="2">
        <f t="shared" ref="C73:K73" si="2">SUM(C66:C68)</f>
        <v>76687.040000000008</v>
      </c>
      <c r="D73" s="2">
        <f t="shared" si="2"/>
        <v>85238.739999999991</v>
      </c>
      <c r="E73" s="2">
        <f t="shared" si="2"/>
        <v>96644.84</v>
      </c>
      <c r="F73" s="2">
        <f t="shared" si="2"/>
        <v>90658.72</v>
      </c>
      <c r="G73" s="2">
        <f t="shared" si="2"/>
        <v>82356.540000000008</v>
      </c>
      <c r="H73" s="2">
        <f t="shared" si="2"/>
        <v>95560.13</v>
      </c>
      <c r="I73" s="2">
        <f t="shared" si="2"/>
        <v>88351.65</v>
      </c>
      <c r="J73" s="2">
        <f t="shared" si="2"/>
        <v>93508.92</v>
      </c>
      <c r="K73" s="2">
        <f t="shared" si="2"/>
        <v>110546.79000000001</v>
      </c>
    </row>
    <row r="74" spans="1:11" x14ac:dyDescent="0.3">
      <c r="A74" s="6" t="s">
        <v>39</v>
      </c>
      <c r="B74" s="2">
        <f>B64-B73</f>
        <v>30891.17</v>
      </c>
      <c r="C74" s="2">
        <f t="shared" ref="C74:K74" si="3">C64-C73</f>
        <v>29579.359999999986</v>
      </c>
      <c r="D74" s="2">
        <f t="shared" si="3"/>
        <v>37360.780000000013</v>
      </c>
      <c r="E74" s="2">
        <f t="shared" si="3"/>
        <v>48286.860000000015</v>
      </c>
      <c r="F74" s="2">
        <f t="shared" si="3"/>
        <v>56155.739999999991</v>
      </c>
      <c r="G74" s="2">
        <f t="shared" si="3"/>
        <v>58784.94</v>
      </c>
      <c r="H74" s="2">
        <f t="shared" si="3"/>
        <v>61717.959999999992</v>
      </c>
      <c r="I74" s="2">
        <f t="shared" si="3"/>
        <v>62223.770000000019</v>
      </c>
      <c r="J74" s="2">
        <f t="shared" si="3"/>
        <v>68432.090000000011</v>
      </c>
      <c r="K74" s="2">
        <f t="shared" si="3"/>
        <v>79018.859999999986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1" t="s">
        <v>46</v>
      </c>
    </row>
    <row r="80" spans="1:11" s="5" customFormat="1" x14ac:dyDescent="0.3">
      <c r="A80" s="3" t="s">
        <v>11</v>
      </c>
      <c r="B80" s="4">
        <v>42094</v>
      </c>
      <c r="C80" s="4">
        <v>42460</v>
      </c>
      <c r="D80" s="4">
        <v>42825</v>
      </c>
      <c r="E80" s="4">
        <v>43190</v>
      </c>
      <c r="F80" s="4">
        <v>43555</v>
      </c>
      <c r="G80" s="4">
        <v>43921</v>
      </c>
      <c r="H80" s="4">
        <v>44286</v>
      </c>
      <c r="I80" s="4">
        <v>44651</v>
      </c>
      <c r="J80" s="4">
        <v>45016</v>
      </c>
      <c r="K80" s="4">
        <v>45382</v>
      </c>
    </row>
    <row r="81" spans="1:11" s="1" customFormat="1" x14ac:dyDescent="0.3">
      <c r="A81" s="6" t="s">
        <v>47</v>
      </c>
      <c r="B81">
        <v>35531.26</v>
      </c>
      <c r="C81">
        <v>37899.54</v>
      </c>
      <c r="D81">
        <v>30199.25</v>
      </c>
      <c r="E81">
        <v>23857.42</v>
      </c>
      <c r="F81">
        <v>18890.75</v>
      </c>
      <c r="G81">
        <v>26632.94</v>
      </c>
      <c r="H81">
        <v>29000.51</v>
      </c>
      <c r="I81">
        <v>14282.83</v>
      </c>
      <c r="J81">
        <v>35388.01</v>
      </c>
      <c r="K81">
        <v>67915.360000000001</v>
      </c>
    </row>
    <row r="82" spans="1:11" s="6" customFormat="1" x14ac:dyDescent="0.3">
      <c r="A82" s="6" t="s">
        <v>48</v>
      </c>
      <c r="B82">
        <v>-36232.35</v>
      </c>
      <c r="C82">
        <v>-36693.9</v>
      </c>
      <c r="D82">
        <v>-39571.4</v>
      </c>
      <c r="E82">
        <v>-25139.14</v>
      </c>
      <c r="F82">
        <v>-20878.07</v>
      </c>
      <c r="G82">
        <v>-33114.550000000003</v>
      </c>
      <c r="H82">
        <v>-25672.5</v>
      </c>
      <c r="I82">
        <v>-4443.66</v>
      </c>
      <c r="J82">
        <v>-15417.17</v>
      </c>
      <c r="K82">
        <v>-22781.56</v>
      </c>
    </row>
    <row r="83" spans="1:11" s="6" customFormat="1" x14ac:dyDescent="0.3">
      <c r="A83" s="6" t="s">
        <v>49</v>
      </c>
      <c r="B83">
        <v>5201.4399999999996</v>
      </c>
      <c r="C83">
        <v>-3795.12</v>
      </c>
      <c r="D83">
        <v>6205.3</v>
      </c>
      <c r="E83">
        <v>2011.71</v>
      </c>
      <c r="F83">
        <v>8830.3700000000008</v>
      </c>
      <c r="G83">
        <v>3389.61</v>
      </c>
      <c r="H83">
        <v>9904.2000000000007</v>
      </c>
      <c r="I83">
        <v>-3380.17</v>
      </c>
      <c r="J83">
        <v>-26242.9</v>
      </c>
      <c r="K83">
        <v>-37005.99</v>
      </c>
    </row>
    <row r="84" spans="1:11" s="1" customFormat="1" x14ac:dyDescent="0.3">
      <c r="A84" s="6" t="s">
        <v>50</v>
      </c>
      <c r="B84">
        <v>4500.3500000000004</v>
      </c>
      <c r="C84">
        <v>-2589.48</v>
      </c>
      <c r="D84">
        <v>-3166.85</v>
      </c>
      <c r="E84">
        <v>729.99</v>
      </c>
      <c r="F84">
        <v>6843.05</v>
      </c>
      <c r="G84">
        <v>-3092</v>
      </c>
      <c r="H84">
        <v>13232.21</v>
      </c>
      <c r="I84">
        <v>6459</v>
      </c>
      <c r="J84">
        <v>-6272.06</v>
      </c>
      <c r="K84">
        <v>8127.81</v>
      </c>
    </row>
    <row r="85" spans="1:11" x14ac:dyDescent="0.3">
      <c r="A85" s="6"/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s="1" customFormat="1" x14ac:dyDescent="0.3">
      <c r="A89" s="1" t="s">
        <v>51</v>
      </c>
      <c r="B89">
        <v>544.37</v>
      </c>
      <c r="C89">
        <v>386.6</v>
      </c>
      <c r="D89">
        <v>465.85</v>
      </c>
      <c r="E89">
        <v>326.85000000000002</v>
      </c>
      <c r="F89">
        <v>174.25</v>
      </c>
      <c r="G89">
        <v>71.05</v>
      </c>
      <c r="H89">
        <v>301.8</v>
      </c>
      <c r="I89">
        <v>433.75</v>
      </c>
      <c r="J89">
        <v>420.8</v>
      </c>
      <c r="K89">
        <v>992.8</v>
      </c>
    </row>
    <row r="91" spans="1:11" s="1" customFormat="1" x14ac:dyDescent="0.3">
      <c r="A91" s="1" t="s">
        <v>52</v>
      </c>
    </row>
    <row r="92" spans="1:11" x14ac:dyDescent="0.3">
      <c r="A92" s="2" t="s">
        <v>53</v>
      </c>
      <c r="B92" s="7">
        <v>288.74</v>
      </c>
      <c r="C92" s="7">
        <v>288.72000000000003</v>
      </c>
      <c r="D92" s="7">
        <v>288.73</v>
      </c>
      <c r="E92" s="7">
        <v>288.73</v>
      </c>
      <c r="F92" s="7">
        <v>288.73</v>
      </c>
      <c r="G92" s="7">
        <v>308.89999999999998</v>
      </c>
      <c r="H92" s="7">
        <v>332.03</v>
      </c>
      <c r="I92" s="7">
        <v>332.07</v>
      </c>
      <c r="J92" s="7">
        <v>332.13</v>
      </c>
      <c r="K92" s="7">
        <v>332.37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AF413D5C-0FEF-4EB1-8B51-AE60957BB4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9484-B405-4D5C-A413-20B179EC290C}">
  <dimension ref="B2:L33"/>
  <sheetViews>
    <sheetView workbookViewId="0">
      <selection activeCell="I82" sqref="I82"/>
    </sheetView>
  </sheetViews>
  <sheetFormatPr defaultRowHeight="14.4" x14ac:dyDescent="0.3"/>
  <cols>
    <col min="2" max="2" width="25.77734375" bestFit="1" customWidth="1"/>
    <col min="3" max="12" width="7.109375" bestFit="1" customWidth="1"/>
  </cols>
  <sheetData>
    <row r="2" spans="2:12" x14ac:dyDescent="0.3">
      <c r="C2" s="28">
        <v>42064</v>
      </c>
      <c r="D2" s="28">
        <v>42430</v>
      </c>
      <c r="E2" s="28">
        <v>42795</v>
      </c>
      <c r="F2" s="28">
        <v>43160</v>
      </c>
      <c r="G2" s="28">
        <v>43525</v>
      </c>
      <c r="H2" s="28">
        <v>43891</v>
      </c>
      <c r="I2" s="28">
        <v>44256</v>
      </c>
      <c r="J2" s="28">
        <v>44621</v>
      </c>
      <c r="K2" s="28">
        <v>44986</v>
      </c>
      <c r="L2" s="28">
        <v>45352</v>
      </c>
    </row>
    <row r="3" spans="2:12" x14ac:dyDescent="0.3">
      <c r="B3" t="s">
        <v>88</v>
      </c>
      <c r="C3" s="29">
        <v>35531</v>
      </c>
      <c r="D3" s="29">
        <v>37900</v>
      </c>
      <c r="E3" s="29">
        <v>30199</v>
      </c>
      <c r="F3" s="29">
        <v>23857</v>
      </c>
      <c r="G3" s="29">
        <v>18891</v>
      </c>
      <c r="H3" s="29">
        <v>26633</v>
      </c>
      <c r="I3" s="29">
        <v>29001</v>
      </c>
      <c r="J3" s="29">
        <v>14283</v>
      </c>
      <c r="K3" s="29">
        <v>35388</v>
      </c>
      <c r="L3" s="29">
        <v>67915</v>
      </c>
    </row>
    <row r="4" spans="2:12" x14ac:dyDescent="0.3">
      <c r="B4" t="s">
        <v>89</v>
      </c>
      <c r="C4" s="29">
        <v>43397</v>
      </c>
      <c r="D4" s="29">
        <v>38626</v>
      </c>
      <c r="E4" s="29">
        <v>28840</v>
      </c>
      <c r="F4" s="29">
        <v>33312</v>
      </c>
      <c r="G4" s="29">
        <v>28771</v>
      </c>
      <c r="H4" s="29">
        <v>23352</v>
      </c>
      <c r="I4" s="29">
        <v>31198</v>
      </c>
      <c r="J4" s="29">
        <v>26943</v>
      </c>
      <c r="K4" s="29">
        <v>41694</v>
      </c>
      <c r="L4" s="29">
        <v>65106</v>
      </c>
    </row>
    <row r="5" spans="2:12" x14ac:dyDescent="0.3">
      <c r="B5" t="s">
        <v>40</v>
      </c>
      <c r="C5" s="29">
        <v>-3179</v>
      </c>
      <c r="D5" s="29">
        <v>-2223</v>
      </c>
      <c r="E5" s="29">
        <v>-4152</v>
      </c>
      <c r="F5" s="29">
        <v>-10688</v>
      </c>
      <c r="G5" s="29">
        <v>-9109</v>
      </c>
      <c r="H5" s="29">
        <v>9950</v>
      </c>
      <c r="I5" s="29">
        <v>-5505</v>
      </c>
      <c r="J5">
        <v>185</v>
      </c>
      <c r="K5" s="29">
        <v>-2213</v>
      </c>
      <c r="L5" s="29">
        <v>-1875</v>
      </c>
    </row>
    <row r="6" spans="2:12" x14ac:dyDescent="0.3">
      <c r="B6" t="s">
        <v>41</v>
      </c>
      <c r="C6" s="29">
        <v>-3692</v>
      </c>
      <c r="D6" s="29">
        <v>-5743</v>
      </c>
      <c r="E6" s="29">
        <v>-6621</v>
      </c>
      <c r="F6" s="29">
        <v>-3560</v>
      </c>
      <c r="G6" s="29">
        <v>2069</v>
      </c>
      <c r="H6" s="29">
        <v>2326</v>
      </c>
      <c r="I6" s="29">
        <v>3814</v>
      </c>
      <c r="J6">
        <v>472</v>
      </c>
      <c r="K6" s="29">
        <v>-5665</v>
      </c>
      <c r="L6" s="29">
        <v>-7265</v>
      </c>
    </row>
    <row r="7" spans="2:12" x14ac:dyDescent="0.3">
      <c r="B7" t="s">
        <v>90</v>
      </c>
      <c r="C7" s="29">
        <v>3598</v>
      </c>
      <c r="D7" s="29">
        <v>3947</v>
      </c>
      <c r="E7" s="29">
        <v>9301</v>
      </c>
      <c r="F7" s="29">
        <v>7320</v>
      </c>
      <c r="G7" s="29">
        <v>-4692</v>
      </c>
      <c r="H7" s="29">
        <v>-8085</v>
      </c>
      <c r="I7" s="29">
        <v>5748</v>
      </c>
      <c r="J7" s="29">
        <v>-7012</v>
      </c>
      <c r="K7" s="29">
        <v>6945</v>
      </c>
      <c r="L7" s="29">
        <v>13706</v>
      </c>
    </row>
    <row r="8" spans="2:12" x14ac:dyDescent="0.3">
      <c r="B8" t="s">
        <v>91</v>
      </c>
      <c r="C8">
        <v>0</v>
      </c>
      <c r="D8">
        <v>-520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t="s">
        <v>92</v>
      </c>
      <c r="C9">
        <v>-398</v>
      </c>
      <c r="D9" s="29">
        <v>5852</v>
      </c>
      <c r="E9" s="29">
        <v>4727</v>
      </c>
      <c r="F9">
        <v>494</v>
      </c>
      <c r="G9" s="29">
        <v>4512</v>
      </c>
      <c r="H9">
        <v>875</v>
      </c>
      <c r="I9" s="29">
        <v>-4150</v>
      </c>
      <c r="J9" s="29">
        <v>-4396</v>
      </c>
      <c r="K9" s="29">
        <v>-2194</v>
      </c>
      <c r="L9" s="29">
        <v>2760</v>
      </c>
    </row>
    <row r="10" spans="2:12" x14ac:dyDescent="0.3">
      <c r="B10" t="s">
        <v>93</v>
      </c>
      <c r="C10" s="29">
        <v>-3672</v>
      </c>
      <c r="D10" s="29">
        <v>1313</v>
      </c>
      <c r="E10" s="29">
        <v>3254</v>
      </c>
      <c r="F10" s="29">
        <v>-6434</v>
      </c>
      <c r="G10" s="29">
        <v>-7221</v>
      </c>
      <c r="H10" s="29">
        <v>5065</v>
      </c>
      <c r="I10">
        <v>-93</v>
      </c>
      <c r="J10" s="29">
        <v>-10750</v>
      </c>
      <c r="K10" s="29">
        <v>-3127</v>
      </c>
      <c r="L10" s="29">
        <v>7325</v>
      </c>
    </row>
    <row r="11" spans="2:12" x14ac:dyDescent="0.3">
      <c r="B11" t="s">
        <v>94</v>
      </c>
      <c r="C11" s="29">
        <v>-4194</v>
      </c>
      <c r="D11" s="29">
        <v>-2040</v>
      </c>
      <c r="E11" s="29">
        <v>-1895</v>
      </c>
      <c r="F11" s="29">
        <v>-3021</v>
      </c>
      <c r="G11" s="29">
        <v>-2659</v>
      </c>
      <c r="H11" s="29">
        <v>-1785</v>
      </c>
      <c r="I11" s="29">
        <v>-2105</v>
      </c>
      <c r="J11" s="29">
        <v>-1910</v>
      </c>
      <c r="K11" s="29">
        <v>-3179</v>
      </c>
      <c r="L11" s="29">
        <v>-4516</v>
      </c>
    </row>
    <row r="12" spans="2:12" x14ac:dyDescent="0.3">
      <c r="B12" t="s">
        <v>95</v>
      </c>
      <c r="C12" s="29">
        <v>-36232</v>
      </c>
      <c r="D12" s="29">
        <v>-36694</v>
      </c>
      <c r="E12" s="29">
        <v>-39571</v>
      </c>
      <c r="F12" s="29">
        <v>-25139</v>
      </c>
      <c r="G12" s="29">
        <v>-20878</v>
      </c>
      <c r="H12" s="29">
        <v>-33115</v>
      </c>
      <c r="I12" s="29">
        <v>-25672</v>
      </c>
      <c r="J12" s="29">
        <v>-4444</v>
      </c>
      <c r="K12" s="29">
        <v>-15417</v>
      </c>
      <c r="L12" s="29">
        <v>-22782</v>
      </c>
    </row>
    <row r="13" spans="2:12" x14ac:dyDescent="0.3">
      <c r="B13" t="s">
        <v>96</v>
      </c>
      <c r="C13" s="29">
        <v>-31962</v>
      </c>
      <c r="D13" s="29">
        <v>-31503</v>
      </c>
      <c r="E13" s="29">
        <v>-16072</v>
      </c>
      <c r="F13" s="29">
        <v>-35079</v>
      </c>
      <c r="G13" s="29">
        <v>-35304</v>
      </c>
      <c r="H13" s="29">
        <v>-29702</v>
      </c>
      <c r="I13" s="29">
        <v>-20205</v>
      </c>
      <c r="J13" s="29">
        <v>-15168</v>
      </c>
      <c r="K13" s="29">
        <v>-19230</v>
      </c>
      <c r="L13" s="29">
        <v>-31414</v>
      </c>
    </row>
    <row r="14" spans="2:12" x14ac:dyDescent="0.3">
      <c r="B14" t="s">
        <v>97</v>
      </c>
      <c r="C14">
        <v>74</v>
      </c>
      <c r="D14">
        <v>59</v>
      </c>
      <c r="E14">
        <v>53</v>
      </c>
      <c r="F14">
        <v>30</v>
      </c>
      <c r="G14">
        <v>67</v>
      </c>
      <c r="H14">
        <v>171</v>
      </c>
      <c r="I14">
        <v>351</v>
      </c>
      <c r="J14">
        <v>230</v>
      </c>
      <c r="K14">
        <v>285</v>
      </c>
      <c r="L14">
        <v>231</v>
      </c>
    </row>
    <row r="15" spans="2:12" x14ac:dyDescent="0.3">
      <c r="B15" t="s">
        <v>98</v>
      </c>
      <c r="C15" s="29">
        <v>-5461</v>
      </c>
      <c r="D15" s="29">
        <v>-4728</v>
      </c>
      <c r="E15">
        <v>-6</v>
      </c>
      <c r="F15">
        <v>-329</v>
      </c>
      <c r="G15">
        <v>-130</v>
      </c>
      <c r="H15" s="29">
        <v>-1439</v>
      </c>
      <c r="I15" s="29">
        <v>-7530</v>
      </c>
      <c r="J15" s="29">
        <v>-3008</v>
      </c>
      <c r="K15">
        <v>-50</v>
      </c>
      <c r="L15">
        <v>-74</v>
      </c>
    </row>
    <row r="16" spans="2:12" x14ac:dyDescent="0.3">
      <c r="B16" t="s">
        <v>99</v>
      </c>
      <c r="C16">
        <v>42</v>
      </c>
      <c r="D16">
        <v>89</v>
      </c>
      <c r="E16" s="29">
        <v>1965</v>
      </c>
      <c r="F16" s="29">
        <v>2381</v>
      </c>
      <c r="G16" s="29">
        <v>5644</v>
      </c>
      <c r="H16">
        <v>21</v>
      </c>
      <c r="I16">
        <v>226</v>
      </c>
      <c r="J16">
        <v>104</v>
      </c>
      <c r="K16" s="29">
        <v>6895</v>
      </c>
      <c r="L16" s="29">
        <v>10820</v>
      </c>
    </row>
    <row r="17" spans="2:12" x14ac:dyDescent="0.3">
      <c r="B17" t="s">
        <v>100</v>
      </c>
      <c r="C17">
        <v>698</v>
      </c>
      <c r="D17">
        <v>731</v>
      </c>
      <c r="E17">
        <v>638</v>
      </c>
      <c r="F17">
        <v>690</v>
      </c>
      <c r="G17">
        <v>761</v>
      </c>
      <c r="H17" s="29">
        <v>1104</v>
      </c>
      <c r="I17">
        <v>428</v>
      </c>
      <c r="J17">
        <v>653</v>
      </c>
      <c r="K17">
        <v>973</v>
      </c>
      <c r="L17" s="29">
        <v>2493</v>
      </c>
    </row>
    <row r="18" spans="2:12" x14ac:dyDescent="0.3">
      <c r="B18" t="s">
        <v>101</v>
      </c>
      <c r="C18">
        <v>80</v>
      </c>
      <c r="D18">
        <v>58</v>
      </c>
      <c r="E18">
        <v>620</v>
      </c>
      <c r="F18" s="29">
        <v>1797</v>
      </c>
      <c r="G18">
        <v>232</v>
      </c>
      <c r="H18">
        <v>21</v>
      </c>
      <c r="I18">
        <v>18</v>
      </c>
      <c r="J18">
        <v>32</v>
      </c>
      <c r="K18">
        <v>46</v>
      </c>
      <c r="L18">
        <v>47</v>
      </c>
    </row>
    <row r="19" spans="2:12" x14ac:dyDescent="0.3">
      <c r="B19" t="s">
        <v>102</v>
      </c>
      <c r="C19">
        <v>-160</v>
      </c>
      <c r="D19">
        <v>0</v>
      </c>
      <c r="E19">
        <v>-107</v>
      </c>
      <c r="F19">
        <v>-4</v>
      </c>
      <c r="G19">
        <v>-9</v>
      </c>
      <c r="H19">
        <v>-606</v>
      </c>
      <c r="I19">
        <v>-10</v>
      </c>
      <c r="J19">
        <v>0</v>
      </c>
      <c r="K19">
        <v>0</v>
      </c>
      <c r="L19">
        <v>-150</v>
      </c>
    </row>
    <row r="20" spans="2:12" x14ac:dyDescent="0.3">
      <c r="B20" t="s">
        <v>103</v>
      </c>
      <c r="C20">
        <v>0</v>
      </c>
      <c r="D20">
        <v>0</v>
      </c>
      <c r="E20">
        <v>0</v>
      </c>
      <c r="F20">
        <v>14</v>
      </c>
      <c r="G20">
        <v>533</v>
      </c>
      <c r="H20">
        <v>0</v>
      </c>
      <c r="I20">
        <v>0</v>
      </c>
      <c r="J20">
        <v>0</v>
      </c>
      <c r="K20">
        <v>19</v>
      </c>
      <c r="L20">
        <v>108</v>
      </c>
    </row>
    <row r="21" spans="2:12" x14ac:dyDescent="0.3">
      <c r="B21" t="s">
        <v>104</v>
      </c>
      <c r="C21">
        <v>0</v>
      </c>
      <c r="D21">
        <v>-111</v>
      </c>
      <c r="E21">
        <v>0</v>
      </c>
      <c r="F21">
        <v>0</v>
      </c>
      <c r="G21">
        <v>-8</v>
      </c>
      <c r="H21">
        <v>-27</v>
      </c>
      <c r="I21">
        <v>0</v>
      </c>
      <c r="J21">
        <v>-98</v>
      </c>
      <c r="K21">
        <v>0</v>
      </c>
      <c r="L21">
        <v>0</v>
      </c>
    </row>
    <row r="22" spans="2:12" x14ac:dyDescent="0.3">
      <c r="B22" t="s">
        <v>105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-24</v>
      </c>
    </row>
    <row r="23" spans="2:12" x14ac:dyDescent="0.3">
      <c r="B23" t="s">
        <v>106</v>
      </c>
      <c r="C23">
        <v>456</v>
      </c>
      <c r="D23" s="29">
        <v>-1289</v>
      </c>
      <c r="E23" s="29">
        <v>-26663</v>
      </c>
      <c r="F23" s="29">
        <v>5360</v>
      </c>
      <c r="G23" s="29">
        <v>7335</v>
      </c>
      <c r="H23" s="29">
        <v>-2659</v>
      </c>
      <c r="I23" s="29">
        <v>1051</v>
      </c>
      <c r="J23" s="29">
        <v>12813</v>
      </c>
      <c r="K23" s="29">
        <v>-4357</v>
      </c>
      <c r="L23" s="29">
        <v>-4817</v>
      </c>
    </row>
    <row r="24" spans="2:12" x14ac:dyDescent="0.3">
      <c r="B24" t="s">
        <v>107</v>
      </c>
      <c r="C24" s="29">
        <v>5201</v>
      </c>
      <c r="D24" s="29">
        <v>-3795</v>
      </c>
      <c r="E24" s="29">
        <v>6205</v>
      </c>
      <c r="F24" s="29">
        <v>2012</v>
      </c>
      <c r="G24" s="29">
        <v>8830</v>
      </c>
      <c r="H24" s="29">
        <v>3390</v>
      </c>
      <c r="I24" s="29">
        <v>9904</v>
      </c>
      <c r="J24" s="29">
        <v>-3380</v>
      </c>
      <c r="K24" s="29">
        <v>-26243</v>
      </c>
      <c r="L24" s="29">
        <v>-37006</v>
      </c>
    </row>
    <row r="25" spans="2:12" x14ac:dyDescent="0.3">
      <c r="B25" t="s">
        <v>108</v>
      </c>
      <c r="C25">
        <v>0</v>
      </c>
      <c r="D25" s="29">
        <v>7433</v>
      </c>
      <c r="E25">
        <v>5</v>
      </c>
      <c r="F25">
        <v>0</v>
      </c>
      <c r="G25">
        <v>0</v>
      </c>
      <c r="H25" s="29">
        <v>3889</v>
      </c>
      <c r="I25" s="29">
        <v>2603</v>
      </c>
      <c r="J25">
        <v>19</v>
      </c>
      <c r="K25">
        <v>20</v>
      </c>
      <c r="L25">
        <v>82</v>
      </c>
    </row>
    <row r="26" spans="2:12" x14ac:dyDescent="0.3">
      <c r="B26" t="s">
        <v>109</v>
      </c>
      <c r="C26">
        <v>-744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2:12" x14ac:dyDescent="0.3">
      <c r="B27" t="s">
        <v>110</v>
      </c>
      <c r="C27" s="29">
        <v>36363</v>
      </c>
      <c r="D27" s="29">
        <v>19519</v>
      </c>
      <c r="E27" s="29">
        <v>33390</v>
      </c>
      <c r="F27" s="29">
        <v>37482</v>
      </c>
      <c r="G27" s="29">
        <v>51128</v>
      </c>
      <c r="H27" s="29">
        <v>38297</v>
      </c>
      <c r="I27" s="29">
        <v>46641</v>
      </c>
      <c r="J27" s="29">
        <v>46578</v>
      </c>
      <c r="K27" s="29">
        <v>43934</v>
      </c>
      <c r="L27" s="29">
        <v>18747</v>
      </c>
    </row>
    <row r="28" spans="2:12" x14ac:dyDescent="0.3">
      <c r="B28" t="s">
        <v>111</v>
      </c>
      <c r="C28" s="29">
        <v>-23332</v>
      </c>
      <c r="D28" s="29">
        <v>-24924</v>
      </c>
      <c r="E28" s="29">
        <v>-21732</v>
      </c>
      <c r="F28" s="29">
        <v>-29964</v>
      </c>
      <c r="G28" s="29">
        <v>-35198</v>
      </c>
      <c r="H28" s="29">
        <v>-29847</v>
      </c>
      <c r="I28" s="29">
        <v>-29709</v>
      </c>
      <c r="J28" s="29">
        <v>-42816</v>
      </c>
      <c r="K28" s="29">
        <v>-62557</v>
      </c>
      <c r="L28" s="29">
        <v>-47332</v>
      </c>
    </row>
    <row r="29" spans="2:12" x14ac:dyDescent="0.3">
      <c r="B29" t="s">
        <v>112</v>
      </c>
      <c r="C29" s="29">
        <v>-6307</v>
      </c>
      <c r="D29" s="29">
        <v>-5716</v>
      </c>
      <c r="E29" s="29">
        <v>-5336</v>
      </c>
      <c r="F29" s="29">
        <v>-5411</v>
      </c>
      <c r="G29" s="29">
        <v>-7005</v>
      </c>
      <c r="H29" s="29">
        <v>-7518</v>
      </c>
      <c r="I29" s="29">
        <v>-8123</v>
      </c>
      <c r="J29" s="29">
        <v>-9251</v>
      </c>
      <c r="K29" s="29">
        <v>-9336</v>
      </c>
      <c r="L29" s="29">
        <v>-9332</v>
      </c>
    </row>
    <row r="30" spans="2:12" x14ac:dyDescent="0.3">
      <c r="B30" t="s">
        <v>113</v>
      </c>
      <c r="C30">
        <v>-720</v>
      </c>
      <c r="D30">
        <v>-108</v>
      </c>
      <c r="E30">
        <v>-121</v>
      </c>
      <c r="F30">
        <v>-96</v>
      </c>
      <c r="G30">
        <v>-95</v>
      </c>
      <c r="H30">
        <v>-57</v>
      </c>
      <c r="I30">
        <v>-30</v>
      </c>
      <c r="J30">
        <v>-100</v>
      </c>
      <c r="K30">
        <v>-141</v>
      </c>
      <c r="L30" s="29">
        <v>-1059</v>
      </c>
    </row>
    <row r="31" spans="2:12" x14ac:dyDescent="0.3">
      <c r="B31" t="s">
        <v>114</v>
      </c>
      <c r="C31">
        <v>0</v>
      </c>
      <c r="D31">
        <v>0</v>
      </c>
      <c r="E31">
        <v>0</v>
      </c>
      <c r="F31">
        <v>0</v>
      </c>
      <c r="G31">
        <v>0</v>
      </c>
      <c r="H31" s="29">
        <v>-1346</v>
      </c>
      <c r="I31" s="29">
        <v>-1477</v>
      </c>
      <c r="J31" s="29">
        <v>-1559</v>
      </c>
      <c r="K31" s="29">
        <v>-1517</v>
      </c>
      <c r="L31" s="29">
        <v>-1924</v>
      </c>
    </row>
    <row r="32" spans="2:12" x14ac:dyDescent="0.3">
      <c r="B32" t="s">
        <v>115</v>
      </c>
      <c r="C32">
        <v>-57</v>
      </c>
      <c r="D32">
        <v>0</v>
      </c>
      <c r="E32">
        <v>0</v>
      </c>
      <c r="F32">
        <v>0</v>
      </c>
      <c r="G32">
        <v>0</v>
      </c>
      <c r="H32">
        <v>-29</v>
      </c>
      <c r="I32">
        <v>0</v>
      </c>
      <c r="J32" s="29">
        <v>3750</v>
      </c>
      <c r="K32" s="29">
        <v>3355</v>
      </c>
      <c r="L32" s="29">
        <v>3812</v>
      </c>
    </row>
    <row r="33" spans="2:12" x14ac:dyDescent="0.3">
      <c r="B33" t="s">
        <v>50</v>
      </c>
      <c r="C33" s="29">
        <v>4500</v>
      </c>
      <c r="D33" s="29">
        <v>-2589</v>
      </c>
      <c r="E33" s="29">
        <v>-3167</v>
      </c>
      <c r="F33">
        <v>730</v>
      </c>
      <c r="G33" s="29">
        <v>6843</v>
      </c>
      <c r="H33" s="29">
        <v>-3092</v>
      </c>
      <c r="I33" s="29">
        <v>13232</v>
      </c>
      <c r="J33" s="29">
        <v>6459</v>
      </c>
      <c r="K33" s="29">
        <v>-6272</v>
      </c>
      <c r="L33" s="29">
        <v>8128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A51E-DD95-4A38-B06C-FCE167BF7D99}">
  <sheetPr>
    <tabColor theme="4" tint="-0.499984740745262"/>
  </sheetPr>
  <dimension ref="A2:T108"/>
  <sheetViews>
    <sheetView showGridLines="0" tabSelected="1" zoomScale="77" workbookViewId="0">
      <selection activeCell="O25" sqref="O25"/>
    </sheetView>
  </sheetViews>
  <sheetFormatPr defaultRowHeight="14.4" x14ac:dyDescent="0.3"/>
  <cols>
    <col min="1" max="1" width="1.88671875" customWidth="1"/>
    <col min="2" max="2" width="32.44140625" customWidth="1"/>
    <col min="3" max="12" width="16.77734375" customWidth="1"/>
    <col min="13" max="13" width="15.88671875" customWidth="1"/>
    <col min="19" max="19" width="10.109375" bestFit="1" customWidth="1"/>
  </cols>
  <sheetData>
    <row r="2" spans="1:14" x14ac:dyDescent="0.3">
      <c r="B2" s="169" t="str">
        <f>"Historical Financial Statement - "&amp;'Data Sheet'!B1</f>
        <v>Historical Financial Statement - TATA MOTORS LTD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3" spans="1:14" x14ac:dyDescent="0.3">
      <c r="B3" s="8" t="s">
        <v>54</v>
      </c>
      <c r="C3" s="9">
        <f>'Data Sheet'!B16</f>
        <v>42094</v>
      </c>
      <c r="D3" s="9">
        <f>'Data Sheet'!C16</f>
        <v>42460</v>
      </c>
      <c r="E3" s="9">
        <f>'Data Sheet'!D16</f>
        <v>42825</v>
      </c>
      <c r="F3" s="9">
        <f>'Data Sheet'!E16</f>
        <v>43190</v>
      </c>
      <c r="G3" s="9">
        <f>'Data Sheet'!F16</f>
        <v>43555</v>
      </c>
      <c r="H3" s="9">
        <f>'Data Sheet'!G16</f>
        <v>43921</v>
      </c>
      <c r="I3" s="9">
        <f>'Data Sheet'!H16</f>
        <v>44286</v>
      </c>
      <c r="J3" s="9">
        <f>'Data Sheet'!I16</f>
        <v>44651</v>
      </c>
      <c r="K3" s="9">
        <f>'Data Sheet'!J16</f>
        <v>45016</v>
      </c>
      <c r="L3" s="9">
        <f>'Data Sheet'!K16</f>
        <v>45382</v>
      </c>
      <c r="M3" s="10" t="s">
        <v>55</v>
      </c>
      <c r="N3" s="8"/>
    </row>
    <row r="4" spans="1:14" s="16" customFormat="1" x14ac:dyDescent="0.3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  <c r="N4" s="17"/>
    </row>
    <row r="5" spans="1:14" x14ac:dyDescent="0.3">
      <c r="A5" t="s">
        <v>57</v>
      </c>
      <c r="B5" s="166" t="s">
        <v>56</v>
      </c>
      <c r="C5" s="165">
        <v>42094</v>
      </c>
      <c r="D5" s="165">
        <v>42460</v>
      </c>
      <c r="E5" s="165">
        <v>42825</v>
      </c>
      <c r="F5" s="165">
        <v>43190</v>
      </c>
      <c r="G5" s="165">
        <v>43555</v>
      </c>
      <c r="H5" s="165">
        <v>43921</v>
      </c>
      <c r="I5" s="165">
        <v>44286</v>
      </c>
      <c r="J5" s="165">
        <v>44651</v>
      </c>
      <c r="K5" s="165">
        <v>45016</v>
      </c>
      <c r="L5" s="165">
        <v>45382</v>
      </c>
      <c r="M5" s="165" t="s">
        <v>55</v>
      </c>
    </row>
    <row r="6" spans="1:14" x14ac:dyDescent="0.3">
      <c r="B6" t="s">
        <v>12</v>
      </c>
      <c r="C6" s="14">
        <f>IFERROR('Data Sheet'!B17,0)</f>
        <v>263158.98</v>
      </c>
      <c r="D6" s="14">
        <f>IFERROR('Data Sheet'!C17,0)</f>
        <v>273045.59999999998</v>
      </c>
      <c r="E6" s="14">
        <f>IFERROR('Data Sheet'!D17,0)</f>
        <v>269692.51</v>
      </c>
      <c r="F6" s="14">
        <f>IFERROR('Data Sheet'!E17,0)</f>
        <v>291550.48</v>
      </c>
      <c r="G6" s="14">
        <f>IFERROR('Data Sheet'!F17,0)</f>
        <v>301938.40000000002</v>
      </c>
      <c r="H6" s="14">
        <f>IFERROR('Data Sheet'!G17,0)</f>
        <v>261067.97</v>
      </c>
      <c r="I6" s="14">
        <f>IFERROR('Data Sheet'!H17,0)</f>
        <v>249794.75</v>
      </c>
      <c r="J6" s="14">
        <f>IFERROR('Data Sheet'!I17,0)</f>
        <v>278453.62</v>
      </c>
      <c r="K6" s="14">
        <f>IFERROR('Data Sheet'!J17,0)</f>
        <v>345966.97</v>
      </c>
      <c r="L6" s="14">
        <f>IFERROR('Data Sheet'!K17,0)</f>
        <v>437927.77</v>
      </c>
      <c r="M6" s="14">
        <f>IFERROR(SUM('Data Sheet'!H41:K41),0)</f>
        <v>443059</v>
      </c>
    </row>
    <row r="7" spans="1:14" x14ac:dyDescent="0.3">
      <c r="B7" s="11" t="s">
        <v>58</v>
      </c>
      <c r="C7" s="12" t="s">
        <v>59</v>
      </c>
      <c r="D7" s="13">
        <f>D6/C6-1</f>
        <v>3.75690010654397E-2</v>
      </c>
      <c r="E7" s="13">
        <f t="shared" ref="E7:L7" si="0">E6/D6-1</f>
        <v>-1.2280329732469508E-2</v>
      </c>
      <c r="F7" s="13">
        <f t="shared" si="0"/>
        <v>8.104774581985974E-2</v>
      </c>
      <c r="G7" s="13">
        <f t="shared" si="0"/>
        <v>3.5629919045237157E-2</v>
      </c>
      <c r="H7" s="13">
        <f t="shared" si="0"/>
        <v>-0.135360159555724</v>
      </c>
      <c r="I7" s="13">
        <f t="shared" si="0"/>
        <v>-4.3181168490336042E-2</v>
      </c>
      <c r="J7" s="13">
        <f t="shared" si="0"/>
        <v>0.11472967306158344</v>
      </c>
      <c r="K7" s="13">
        <f t="shared" si="0"/>
        <v>0.24245815155859707</v>
      </c>
      <c r="L7" s="13">
        <f t="shared" si="0"/>
        <v>0.26580803363974326</v>
      </c>
      <c r="M7" s="13">
        <f t="shared" ref="M7" si="1">M6/L6-1</f>
        <v>1.1717069232672683E-2</v>
      </c>
    </row>
    <row r="9" spans="1:14" x14ac:dyDescent="0.3">
      <c r="B9" t="s">
        <v>60</v>
      </c>
      <c r="C9" s="14">
        <f>IFERROR(SUM('Data Sheet'!B18,'Data Sheet'!B20:B22,-1*'Data Sheet'!B19),0)</f>
        <v>202856.88</v>
      </c>
      <c r="D9" s="14">
        <f>IFERROR(SUM('Data Sheet'!C18,'Data Sheet'!C20:C22,-1*'Data Sheet'!C19),0)</f>
        <v>205509.07</v>
      </c>
      <c r="E9" s="14">
        <f>IFERROR(SUM('Data Sheet'!D18,'Data Sheet'!D20:D22,-1*'Data Sheet'!D19),0)</f>
        <v>205454.23999999996</v>
      </c>
      <c r="F9" s="14">
        <f>IFERROR(SUM('Data Sheet'!E18,'Data Sheet'!E20:E22,-1*'Data Sheet'!E19),0)</f>
        <v>228429.83</v>
      </c>
      <c r="G9" s="14">
        <f>IFERROR(SUM('Data Sheet'!F18,'Data Sheet'!F20:F22,-1*'Data Sheet'!F19),0)</f>
        <v>242845.53</v>
      </c>
      <c r="H9" s="14">
        <f>IFERROR(SUM('Data Sheet'!G18,'Data Sheet'!G20:G22,-1*'Data Sheet'!G19),0)</f>
        <v>210376.07000000004</v>
      </c>
      <c r="I9" s="14">
        <f>IFERROR(SUM('Data Sheet'!H18,'Data Sheet'!H20:H22,-1*'Data Sheet'!H19),0)</f>
        <v>195326.04</v>
      </c>
      <c r="J9" s="14">
        <f>IFERROR(SUM('Data Sheet'!I18,'Data Sheet'!I20:I22,-1*'Data Sheet'!I19),0)</f>
        <v>223300.00999999998</v>
      </c>
      <c r="K9" s="14">
        <f>IFERROR(SUM('Data Sheet'!J18,'Data Sheet'!J20:J22,-1*'Data Sheet'!J19),0)</f>
        <v>274403.64</v>
      </c>
      <c r="L9" s="14">
        <f>IFERROR(SUM('Data Sheet'!K18,'Data Sheet'!K20:K22,-1*'Data Sheet'!K19),0)</f>
        <v>334551.78999999998</v>
      </c>
      <c r="M9" s="14">
        <f>IFERROR(SUM('Data Sheet'!H42:K42),0)</f>
        <v>384937</v>
      </c>
    </row>
    <row r="10" spans="1:14" x14ac:dyDescent="0.3">
      <c r="B10" s="11" t="s">
        <v>61</v>
      </c>
      <c r="C10" s="13">
        <f>C9/C6</f>
        <v>0.77085296500237244</v>
      </c>
      <c r="D10" s="13">
        <f t="shared" ref="D10:M10" si="2">D9/D6</f>
        <v>0.75265475803309057</v>
      </c>
      <c r="E10" s="13">
        <f t="shared" si="2"/>
        <v>0.76180921746770036</v>
      </c>
      <c r="F10" s="13">
        <f t="shared" si="2"/>
        <v>0.78350009919380004</v>
      </c>
      <c r="G10" s="13">
        <f t="shared" si="2"/>
        <v>0.80428832503583503</v>
      </c>
      <c r="H10" s="13">
        <f t="shared" si="2"/>
        <v>0.80582872728508226</v>
      </c>
      <c r="I10" s="13">
        <f t="shared" si="2"/>
        <v>0.7819461377791167</v>
      </c>
      <c r="J10" s="13">
        <f t="shared" si="2"/>
        <v>0.80192891728252624</v>
      </c>
      <c r="K10" s="13">
        <f t="shared" si="2"/>
        <v>0.79314982005363122</v>
      </c>
      <c r="L10" s="13">
        <f t="shared" si="2"/>
        <v>0.76394285295038489</v>
      </c>
      <c r="M10" s="13">
        <f t="shared" si="2"/>
        <v>0.86881656844799449</v>
      </c>
    </row>
    <row r="12" spans="1:14" x14ac:dyDescent="0.3">
      <c r="B12" s="30" t="s">
        <v>62</v>
      </c>
      <c r="C12" s="31">
        <f>C6-C9</f>
        <v>60302.099999999977</v>
      </c>
      <c r="D12" s="31">
        <f t="shared" ref="D12:M12" si="3">D6-D9</f>
        <v>67536.52999999997</v>
      </c>
      <c r="E12" s="31">
        <f t="shared" si="3"/>
        <v>64238.270000000048</v>
      </c>
      <c r="F12" s="31">
        <f t="shared" si="3"/>
        <v>63120.649999999994</v>
      </c>
      <c r="G12" s="31">
        <f t="shared" si="3"/>
        <v>59092.870000000024</v>
      </c>
      <c r="H12" s="31">
        <f t="shared" si="3"/>
        <v>50691.899999999965</v>
      </c>
      <c r="I12" s="31">
        <f t="shared" si="3"/>
        <v>54468.709999999992</v>
      </c>
      <c r="J12" s="31">
        <f t="shared" si="3"/>
        <v>55153.610000000015</v>
      </c>
      <c r="K12" s="31">
        <f t="shared" si="3"/>
        <v>71563.329999999958</v>
      </c>
      <c r="L12" s="31">
        <f t="shared" si="3"/>
        <v>103375.98000000004</v>
      </c>
      <c r="M12" s="31">
        <f t="shared" si="3"/>
        <v>58122</v>
      </c>
    </row>
    <row r="13" spans="1:14" x14ac:dyDescent="0.3">
      <c r="B13" s="13" t="s">
        <v>69</v>
      </c>
      <c r="C13" s="13">
        <f>C12/C6</f>
        <v>0.22914703499762759</v>
      </c>
      <c r="D13" s="13">
        <f t="shared" ref="D13:M13" si="4">D12/D6</f>
        <v>0.24734524196690946</v>
      </c>
      <c r="E13" s="13">
        <f t="shared" si="4"/>
        <v>0.23819078253229964</v>
      </c>
      <c r="F13" s="13">
        <f t="shared" si="4"/>
        <v>0.21649990080619999</v>
      </c>
      <c r="G13" s="13">
        <f t="shared" si="4"/>
        <v>0.19571167496416494</v>
      </c>
      <c r="H13" s="13">
        <f t="shared" si="4"/>
        <v>0.19417127271491774</v>
      </c>
      <c r="I13" s="13">
        <f t="shared" si="4"/>
        <v>0.2180538622208833</v>
      </c>
      <c r="J13" s="13">
        <f t="shared" si="4"/>
        <v>0.19807108271747378</v>
      </c>
      <c r="K13" s="13">
        <f t="shared" si="4"/>
        <v>0.20685017994636876</v>
      </c>
      <c r="L13" s="13">
        <f t="shared" si="4"/>
        <v>0.23605714704961514</v>
      </c>
      <c r="M13" s="13">
        <f t="shared" si="4"/>
        <v>0.13118343155200549</v>
      </c>
    </row>
    <row r="14" spans="1:14" x14ac:dyDescent="0.3">
      <c r="B14" s="1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4" x14ac:dyDescent="0.3">
      <c r="B15" t="s">
        <v>63</v>
      </c>
      <c r="C15" s="14">
        <f>IFERROR(SUM('Data Sheet'!B23:B24),0)</f>
        <v>21063.449999999997</v>
      </c>
      <c r="D15" s="14">
        <f>IFERROR(SUM('Data Sheet'!C23:C24),0)</f>
        <v>29141.280000000002</v>
      </c>
      <c r="E15" s="14">
        <f>IFERROR(SUM('Data Sheet'!D23:D24),0)</f>
        <v>34649.58</v>
      </c>
      <c r="F15" s="14">
        <f>IFERROR(SUM('Data Sheet'!E23:E24),0)</f>
        <v>31662.97</v>
      </c>
      <c r="G15" s="14">
        <f>IFERROR(SUM('Data Sheet'!F23:F24),0)</f>
        <v>34428.54</v>
      </c>
      <c r="H15" s="14">
        <f>IFERROR(SUM('Data Sheet'!G23:G24),0)</f>
        <v>32704.83</v>
      </c>
      <c r="I15" s="14">
        <f>IFERROR(SUM('Data Sheet'!H23:H24),0)</f>
        <v>22181.280000000002</v>
      </c>
      <c r="J15" s="14">
        <f>IFERROR(SUM('Data Sheet'!I23:I24),0)</f>
        <v>30433.52</v>
      </c>
      <c r="K15" s="14">
        <f>IFERROR(SUM('Data Sheet'!J23:J24),0)</f>
        <v>39747.53</v>
      </c>
      <c r="L15" s="14">
        <f>IFERROR(SUM('Data Sheet'!K23:K24),0)</f>
        <v>43837.64</v>
      </c>
      <c r="M15" s="14">
        <f>IFERROR(SUM('Data Sheet'!L23:L24),0)</f>
        <v>0</v>
      </c>
    </row>
    <row r="16" spans="1:14" x14ac:dyDescent="0.3">
      <c r="B16" s="11" t="s">
        <v>64</v>
      </c>
      <c r="C16" s="13">
        <f t="shared" ref="C16:M16" si="5">C15/C6</f>
        <v>8.0040779911823637E-2</v>
      </c>
      <c r="D16" s="13">
        <f t="shared" si="5"/>
        <v>0.10672678849247161</v>
      </c>
      <c r="E16" s="13">
        <f t="shared" si="5"/>
        <v>0.12847809529452636</v>
      </c>
      <c r="F16" s="13">
        <f t="shared" si="5"/>
        <v>0.10860201636437025</v>
      </c>
      <c r="G16" s="13">
        <f t="shared" si="5"/>
        <v>0.11402504616835751</v>
      </c>
      <c r="H16" s="13">
        <f t="shared" si="5"/>
        <v>0.12527323822987554</v>
      </c>
      <c r="I16" s="13">
        <f t="shared" si="5"/>
        <v>8.8798023177028354E-2</v>
      </c>
      <c r="J16" s="13">
        <f t="shared" si="5"/>
        <v>0.10929475436519734</v>
      </c>
      <c r="K16" s="13">
        <f t="shared" si="5"/>
        <v>0.11488822184383672</v>
      </c>
      <c r="L16" s="13">
        <f t="shared" si="5"/>
        <v>0.10010244383451636</v>
      </c>
      <c r="M16" s="13">
        <f t="shared" si="5"/>
        <v>0</v>
      </c>
    </row>
    <row r="18" spans="2:19" x14ac:dyDescent="0.3">
      <c r="B18" s="30" t="s">
        <v>65</v>
      </c>
      <c r="C18" s="31">
        <f t="shared" ref="C18:M18" si="6">C12-C15</f>
        <v>39238.64999999998</v>
      </c>
      <c r="D18" s="31">
        <f t="shared" si="6"/>
        <v>38395.249999999971</v>
      </c>
      <c r="E18" s="31">
        <f t="shared" si="6"/>
        <v>29588.690000000046</v>
      </c>
      <c r="F18" s="31">
        <f t="shared" si="6"/>
        <v>31457.679999999993</v>
      </c>
      <c r="G18" s="31">
        <f t="shared" si="6"/>
        <v>24664.330000000024</v>
      </c>
      <c r="H18" s="31">
        <f t="shared" si="6"/>
        <v>17987.069999999963</v>
      </c>
      <c r="I18" s="31">
        <f t="shared" si="6"/>
        <v>32287.429999999989</v>
      </c>
      <c r="J18" s="31">
        <f>J12-J15</f>
        <v>24720.090000000015</v>
      </c>
      <c r="K18" s="31">
        <f t="shared" si="6"/>
        <v>31815.799999999959</v>
      </c>
      <c r="L18" s="31">
        <f t="shared" si="6"/>
        <v>59538.34000000004</v>
      </c>
      <c r="M18" s="31">
        <f t="shared" si="6"/>
        <v>58122</v>
      </c>
    </row>
    <row r="19" spans="2:19" x14ac:dyDescent="0.3">
      <c r="B19" s="11" t="s">
        <v>66</v>
      </c>
      <c r="C19" s="13">
        <f t="shared" ref="C19:M19" si="7">C18/C6</f>
        <v>0.14910625508580397</v>
      </c>
      <c r="D19" s="13">
        <f t="shared" si="7"/>
        <v>0.14061845347443788</v>
      </c>
      <c r="E19" s="13">
        <f t="shared" si="7"/>
        <v>0.10971268723777329</v>
      </c>
      <c r="F19" s="13">
        <f t="shared" si="7"/>
        <v>0.10789788444182975</v>
      </c>
      <c r="G19" s="13">
        <f t="shared" si="7"/>
        <v>8.1686628795807431E-2</v>
      </c>
      <c r="H19" s="13">
        <f t="shared" si="7"/>
        <v>6.8898034485042198E-2</v>
      </c>
      <c r="I19" s="13">
        <f t="shared" si="7"/>
        <v>0.12925583904385496</v>
      </c>
      <c r="J19" s="13">
        <f t="shared" si="7"/>
        <v>8.877632835227646E-2</v>
      </c>
      <c r="K19" s="13">
        <f t="shared" si="7"/>
        <v>9.1961958102532049E-2</v>
      </c>
      <c r="L19" s="13">
        <f t="shared" si="7"/>
        <v>0.13595470321509878</v>
      </c>
      <c r="M19" s="13">
        <f t="shared" si="7"/>
        <v>0.13118343155200549</v>
      </c>
    </row>
    <row r="21" spans="2:19" x14ac:dyDescent="0.3">
      <c r="B21" t="s">
        <v>22</v>
      </c>
      <c r="C21" s="15">
        <f>IFERROR('Data Sheet'!B27,0)</f>
        <v>4861.49</v>
      </c>
      <c r="D21" s="15">
        <f>IFERROR('Data Sheet'!C27,0)</f>
        <v>4889.08</v>
      </c>
      <c r="E21" s="15">
        <f>IFERROR('Data Sheet'!D27,0)</f>
        <v>4238.01</v>
      </c>
      <c r="F21" s="15">
        <f>IFERROR('Data Sheet'!E27,0)</f>
        <v>4681.79</v>
      </c>
      <c r="G21" s="15">
        <f>IFERROR('Data Sheet'!F27,0)</f>
        <v>5758.6</v>
      </c>
      <c r="H21" s="15">
        <f>IFERROR('Data Sheet'!G27,0)</f>
        <v>7243.33</v>
      </c>
      <c r="I21" s="15">
        <f>IFERROR('Data Sheet'!H27,0)</f>
        <v>8097.17</v>
      </c>
      <c r="J21" s="15">
        <f>IFERROR('Data Sheet'!I27,0)</f>
        <v>9311.86</v>
      </c>
      <c r="K21" s="15">
        <f>IFERROR('Data Sheet'!J27,0)</f>
        <v>10225.48</v>
      </c>
      <c r="L21" s="15">
        <f>IFERROR('Data Sheet'!K27,0)</f>
        <v>9985.76</v>
      </c>
      <c r="M21" s="15">
        <f>IFERROR(SUM('Data Sheet'!H45:K45),0)</f>
        <v>8081</v>
      </c>
    </row>
    <row r="22" spans="2:19" x14ac:dyDescent="0.3">
      <c r="B22" s="11" t="s">
        <v>67</v>
      </c>
      <c r="C22" s="13">
        <f t="shared" ref="C22:M22" si="8">C21/C6</f>
        <v>1.8473585814932098E-2</v>
      </c>
      <c r="D22" s="13">
        <f t="shared" si="8"/>
        <v>1.7905727101993223E-2</v>
      </c>
      <c r="E22" s="13">
        <f t="shared" si="8"/>
        <v>1.5714229512714312E-2</v>
      </c>
      <c r="F22" s="13">
        <f t="shared" si="8"/>
        <v>1.605824830060304E-2</v>
      </c>
      <c r="G22" s="13">
        <f t="shared" si="8"/>
        <v>1.9072102124141878E-2</v>
      </c>
      <c r="H22" s="13">
        <f t="shared" si="8"/>
        <v>2.7744996829752802E-2</v>
      </c>
      <c r="I22" s="13">
        <f t="shared" si="8"/>
        <v>3.2415292955516477E-2</v>
      </c>
      <c r="J22" s="13">
        <f t="shared" si="8"/>
        <v>3.3441332168710897E-2</v>
      </c>
      <c r="K22" s="13">
        <f t="shared" si="8"/>
        <v>2.9556231914277829E-2</v>
      </c>
      <c r="L22" s="13">
        <f t="shared" si="8"/>
        <v>2.2802299109736749E-2</v>
      </c>
      <c r="M22" s="13">
        <f t="shared" si="8"/>
        <v>1.823910585271939E-2</v>
      </c>
    </row>
    <row r="24" spans="2:19" x14ac:dyDescent="0.3">
      <c r="B24" t="s">
        <v>21</v>
      </c>
      <c r="C24" s="14">
        <f>IFERROR('Data Sheet'!B26,0)</f>
        <v>13388.63</v>
      </c>
      <c r="D24" s="14">
        <f>IFERROR('Data Sheet'!C26,0)</f>
        <v>16710.78</v>
      </c>
      <c r="E24" s="14">
        <f>IFERROR('Data Sheet'!D26,0)</f>
        <v>17904.990000000002</v>
      </c>
      <c r="F24" s="14">
        <f>IFERROR('Data Sheet'!E26,0)</f>
        <v>21553.59</v>
      </c>
      <c r="G24" s="14">
        <f>IFERROR('Data Sheet'!F26,0)</f>
        <v>23590.63</v>
      </c>
      <c r="H24" s="14">
        <f>IFERROR('Data Sheet'!G26,0)</f>
        <v>21425.43</v>
      </c>
      <c r="I24" s="14">
        <f>IFERROR('Data Sheet'!H26,0)</f>
        <v>23546.71</v>
      </c>
      <c r="J24" s="14">
        <f>IFERROR('Data Sheet'!I26,0)</f>
        <v>24835.69</v>
      </c>
      <c r="K24" s="14">
        <f>IFERROR('Data Sheet'!J26,0)</f>
        <v>24860.36</v>
      </c>
      <c r="L24" s="14">
        <f>IFERROR('Data Sheet'!K26,0)</f>
        <v>27270.13</v>
      </c>
      <c r="M24" s="14">
        <f>IFERROR(SUM('Data Sheet'!H44:K44),0)</f>
        <v>25138</v>
      </c>
      <c r="O24" s="13"/>
    </row>
    <row r="25" spans="2:19" x14ac:dyDescent="0.3">
      <c r="B25" s="13" t="s">
        <v>68</v>
      </c>
      <c r="C25" s="13">
        <f t="shared" ref="C25:M25" si="9">C24/C6</f>
        <v>5.0876584184966822E-2</v>
      </c>
      <c r="D25" s="13">
        <f t="shared" si="9"/>
        <v>6.1201425695927715E-2</v>
      </c>
      <c r="E25" s="13">
        <f t="shared" si="9"/>
        <v>6.63903865924938E-2</v>
      </c>
      <c r="F25" s="13">
        <f t="shared" si="9"/>
        <v>7.3927472182518786E-2</v>
      </c>
      <c r="G25" s="13">
        <f t="shared" si="9"/>
        <v>7.8130605447998658E-2</v>
      </c>
      <c r="H25" s="13">
        <f t="shared" si="9"/>
        <v>8.206839774331566E-2</v>
      </c>
      <c r="I25" s="13">
        <f t="shared" si="9"/>
        <v>9.4264230933596482E-2</v>
      </c>
      <c r="J25" s="13">
        <f t="shared" si="9"/>
        <v>8.9191478279219347E-2</v>
      </c>
      <c r="K25" s="13">
        <f t="shared" si="9"/>
        <v>7.1857611147098821E-2</v>
      </c>
      <c r="L25" s="13">
        <f t="shared" si="9"/>
        <v>6.2270839777984394E-2</v>
      </c>
      <c r="M25" s="13">
        <f t="shared" si="9"/>
        <v>5.6737364549642372E-2</v>
      </c>
      <c r="N25" s="13"/>
    </row>
    <row r="27" spans="2:19" x14ac:dyDescent="0.3">
      <c r="B27" s="30" t="s">
        <v>70</v>
      </c>
      <c r="C27" s="34">
        <f>IFERROR(C18-SUM(C21,C24),0)</f>
        <v>20988.529999999981</v>
      </c>
      <c r="D27" s="34">
        <f t="shared" ref="D27:M27" si="10">IFERROR(D18-SUM(D21,D24),0)</f>
        <v>16795.38999999997</v>
      </c>
      <c r="E27" s="34">
        <f t="shared" si="10"/>
        <v>7445.690000000046</v>
      </c>
      <c r="F27" s="34">
        <f t="shared" si="10"/>
        <v>5222.299999999992</v>
      </c>
      <c r="G27" s="34">
        <f t="shared" si="10"/>
        <v>-4684.8999999999796</v>
      </c>
      <c r="H27" s="34">
        <f t="shared" si="10"/>
        <v>-10681.690000000039</v>
      </c>
      <c r="I27" s="34">
        <f t="shared" si="10"/>
        <v>643.549999999992</v>
      </c>
      <c r="J27" s="34">
        <f t="shared" si="10"/>
        <v>-9427.4599999999882</v>
      </c>
      <c r="K27" s="34">
        <f t="shared" si="10"/>
        <v>-3270.0400000000373</v>
      </c>
      <c r="L27" s="34">
        <f t="shared" si="10"/>
        <v>22282.450000000041</v>
      </c>
      <c r="M27" s="34">
        <f t="shared" si="10"/>
        <v>24903</v>
      </c>
    </row>
    <row r="28" spans="2:19" x14ac:dyDescent="0.3">
      <c r="B28" s="13" t="s">
        <v>71</v>
      </c>
      <c r="C28" s="13">
        <f>C27/C6</f>
        <v>7.9756085085905037E-2</v>
      </c>
      <c r="D28" s="13">
        <f t="shared" ref="D28:M28" si="11">D27/D6</f>
        <v>6.1511300676516931E-2</v>
      </c>
      <c r="E28" s="13">
        <f t="shared" si="11"/>
        <v>2.7608071132565179E-2</v>
      </c>
      <c r="F28" s="13">
        <f t="shared" si="11"/>
        <v>1.7912163958707913E-2</v>
      </c>
      <c r="G28" s="13">
        <f t="shared" si="11"/>
        <v>-1.5516078776333117E-2</v>
      </c>
      <c r="H28" s="13">
        <f t="shared" si="11"/>
        <v>-4.0915360088026265E-2</v>
      </c>
      <c r="I28" s="13">
        <f t="shared" si="11"/>
        <v>2.5763151547420113E-3</v>
      </c>
      <c r="J28" s="13">
        <f t="shared" si="11"/>
        <v>-3.3856482095653805E-2</v>
      </c>
      <c r="K28" s="13">
        <f t="shared" si="11"/>
        <v>-9.4518849588445895E-3</v>
      </c>
      <c r="L28" s="13">
        <f t="shared" si="11"/>
        <v>5.0881564327377643E-2</v>
      </c>
      <c r="M28" s="13">
        <f t="shared" si="11"/>
        <v>5.6206961149643728E-2</v>
      </c>
    </row>
    <row r="30" spans="2:19" x14ac:dyDescent="0.3">
      <c r="B30" t="s">
        <v>24</v>
      </c>
      <c r="C30" s="14">
        <f>IFERROR('Data Sheet'!B29,0)</f>
        <v>7642.91</v>
      </c>
      <c r="D30" s="14">
        <f>IFERROR('Data Sheet'!C29,0)</f>
        <v>3025.05</v>
      </c>
      <c r="E30" s="14">
        <f>IFERROR('Data Sheet'!D29,0)</f>
        <v>3251.23</v>
      </c>
      <c r="F30" s="14">
        <f>IFERROR('Data Sheet'!E29,0)</f>
        <v>4341.93</v>
      </c>
      <c r="G30" s="14">
        <f>IFERROR('Data Sheet'!F29,0)</f>
        <v>-2437.4499999999998</v>
      </c>
      <c r="H30" s="14">
        <f>IFERROR('Data Sheet'!G29,0)</f>
        <v>395.25</v>
      </c>
      <c r="I30" s="14">
        <f>IFERROR('Data Sheet'!H29,0)</f>
        <v>2541.86</v>
      </c>
      <c r="J30" s="14">
        <f>IFERROR('Data Sheet'!I29,0)</f>
        <v>4231.29</v>
      </c>
      <c r="K30" s="14">
        <f>IFERROR('Data Sheet'!J29,0)</f>
        <v>704.06</v>
      </c>
      <c r="L30" s="14">
        <f>IFERROR('Data Sheet'!K29,0)</f>
        <v>-3851.64</v>
      </c>
      <c r="M30" s="14">
        <f>IFERROR(SUM('Data Sheet'!H47:K47),0)</f>
        <v>-569</v>
      </c>
    </row>
    <row r="31" spans="2:19" x14ac:dyDescent="0.3">
      <c r="B31" s="13" t="s">
        <v>72</v>
      </c>
      <c r="C31" s="13">
        <f>C30/C27</f>
        <v>0.3641469888553418</v>
      </c>
      <c r="D31" s="13">
        <f t="shared" ref="D31:M31" si="12">D30/D27</f>
        <v>0.18011192356950362</v>
      </c>
      <c r="E31" s="13">
        <f t="shared" si="12"/>
        <v>0.43665932908836924</v>
      </c>
      <c r="F31" s="13">
        <f t="shared" si="12"/>
        <v>0.8314210213890445</v>
      </c>
      <c r="G31" s="13">
        <f t="shared" si="12"/>
        <v>0.52027791414971725</v>
      </c>
      <c r="H31" s="13">
        <f t="shared" si="12"/>
        <v>-3.7002571690434617E-2</v>
      </c>
      <c r="I31" s="13">
        <f t="shared" si="12"/>
        <v>3.9497474943672315</v>
      </c>
      <c r="J31" s="13">
        <f t="shared" si="12"/>
        <v>-0.4488260888935095</v>
      </c>
      <c r="K31" s="13">
        <f t="shared" si="12"/>
        <v>-0.21530623478611635</v>
      </c>
      <c r="L31" s="13">
        <f t="shared" si="12"/>
        <v>-0.17285531887202676</v>
      </c>
      <c r="M31" s="13">
        <f t="shared" si="12"/>
        <v>-2.2848652772758302E-2</v>
      </c>
    </row>
    <row r="32" spans="2:19" x14ac:dyDescent="0.3">
      <c r="S32" s="15"/>
    </row>
    <row r="33" spans="1:20" x14ac:dyDescent="0.3">
      <c r="B33" s="30" t="s">
        <v>73</v>
      </c>
      <c r="C33" s="34">
        <f>IFERROR(C27-C30,0)</f>
        <v>13345.619999999981</v>
      </c>
      <c r="D33" s="34">
        <f t="shared" ref="D33:M33" si="13">IFERROR(D27-D30,0)</f>
        <v>13770.339999999971</v>
      </c>
      <c r="E33" s="34">
        <f t="shared" si="13"/>
        <v>4194.4600000000464</v>
      </c>
      <c r="F33" s="34">
        <f t="shared" si="13"/>
        <v>880.36999999999171</v>
      </c>
      <c r="G33" s="34">
        <f t="shared" si="13"/>
        <v>-2247.4499999999798</v>
      </c>
      <c r="H33" s="34">
        <f t="shared" si="13"/>
        <v>-11076.940000000039</v>
      </c>
      <c r="I33" s="34">
        <f t="shared" si="13"/>
        <v>-1898.3100000000081</v>
      </c>
      <c r="J33" s="34">
        <f t="shared" si="13"/>
        <v>-13658.749999999989</v>
      </c>
      <c r="K33" s="34">
        <f t="shared" si="13"/>
        <v>-3974.1000000000372</v>
      </c>
      <c r="L33" s="34">
        <f t="shared" si="13"/>
        <v>26134.09000000004</v>
      </c>
      <c r="M33" s="34">
        <f t="shared" si="13"/>
        <v>25472</v>
      </c>
    </row>
    <row r="34" spans="1:20" x14ac:dyDescent="0.3">
      <c r="B34" s="13" t="s">
        <v>74</v>
      </c>
      <c r="C34" s="13">
        <f>C33/C6</f>
        <v>5.0713146858982282E-2</v>
      </c>
      <c r="D34" s="13">
        <f t="shared" ref="D34:M34" si="14">D33/D6</f>
        <v>5.0432381990407359E-2</v>
      </c>
      <c r="E34" s="13">
        <f t="shared" si="14"/>
        <v>1.5552749314395296E-2</v>
      </c>
      <c r="F34" s="13">
        <f t="shared" si="14"/>
        <v>3.01961430487095E-3</v>
      </c>
      <c r="G34" s="13">
        <f t="shared" si="14"/>
        <v>-7.4434056747998256E-3</v>
      </c>
      <c r="H34" s="13">
        <f t="shared" si="14"/>
        <v>-4.2429333632923408E-2</v>
      </c>
      <c r="I34" s="13">
        <f t="shared" si="14"/>
        <v>-7.5994791724005731E-3</v>
      </c>
      <c r="J34" s="13">
        <f t="shared" si="14"/>
        <v>-4.9052154538339235E-2</v>
      </c>
      <c r="K34" s="13">
        <f t="shared" si="14"/>
        <v>-1.1486934720964945E-2</v>
      </c>
      <c r="L34" s="13">
        <f t="shared" si="14"/>
        <v>5.9676713353894045E-2</v>
      </c>
      <c r="M34" s="13">
        <f t="shared" si="14"/>
        <v>5.7491214488363855E-2</v>
      </c>
    </row>
    <row r="36" spans="1:20" x14ac:dyDescent="0.3">
      <c r="B36" t="s">
        <v>75</v>
      </c>
      <c r="C36">
        <f>IFERROR('Data Sheet'!B92,0)</f>
        <v>288.74</v>
      </c>
      <c r="D36">
        <f>IFERROR('Data Sheet'!C92,0)</f>
        <v>288.72000000000003</v>
      </c>
      <c r="E36">
        <f>IFERROR('Data Sheet'!D92,0)</f>
        <v>288.73</v>
      </c>
      <c r="F36">
        <f>IFERROR('Data Sheet'!E92,0)</f>
        <v>288.73</v>
      </c>
      <c r="G36">
        <f>IFERROR('Data Sheet'!F92,0)</f>
        <v>288.73</v>
      </c>
      <c r="H36">
        <f>IFERROR('Data Sheet'!G92,0)</f>
        <v>308.89999999999998</v>
      </c>
      <c r="I36">
        <f>IFERROR('Data Sheet'!H92,0)</f>
        <v>332.03</v>
      </c>
      <c r="J36">
        <f>IFERROR('Data Sheet'!I92,0)</f>
        <v>332.07</v>
      </c>
      <c r="K36">
        <f>IFERROR('Data Sheet'!J92,0)</f>
        <v>332.13</v>
      </c>
      <c r="L36">
        <f>IFERROR('Data Sheet'!K92,0)</f>
        <v>332.37</v>
      </c>
      <c r="M36">
        <v>332.37</v>
      </c>
      <c r="S36" s="15"/>
    </row>
    <row r="39" spans="1:20" x14ac:dyDescent="0.3">
      <c r="B39" t="s">
        <v>76</v>
      </c>
      <c r="C39" s="22">
        <f>IFERROR(C33/C36,0)</f>
        <v>46.220198102098706</v>
      </c>
      <c r="D39" s="22">
        <f t="shared" ref="D39:M39" si="15">IFERROR(D33/D36,0)</f>
        <v>47.694444444444336</v>
      </c>
      <c r="E39" s="22">
        <f t="shared" si="15"/>
        <v>14.527274616423808</v>
      </c>
      <c r="F39" s="22">
        <f t="shared" si="15"/>
        <v>3.049111626779315</v>
      </c>
      <c r="G39" s="22">
        <f t="shared" si="15"/>
        <v>-7.7839157690575265</v>
      </c>
      <c r="H39" s="22">
        <f t="shared" si="15"/>
        <v>-35.859307219164904</v>
      </c>
      <c r="I39" s="22">
        <f t="shared" si="15"/>
        <v>-5.7172845827184542</v>
      </c>
      <c r="J39" s="22">
        <f t="shared" si="15"/>
        <v>-41.132140813683833</v>
      </c>
      <c r="K39" s="22">
        <f t="shared" si="15"/>
        <v>-11.965495438533218</v>
      </c>
      <c r="L39" s="22">
        <f t="shared" si="15"/>
        <v>78.629509281824596</v>
      </c>
      <c r="M39" s="22">
        <f t="shared" si="15"/>
        <v>76.637482323916117</v>
      </c>
    </row>
    <row r="40" spans="1:20" s="16" customFormat="1" x14ac:dyDescent="0.3">
      <c r="A40"/>
      <c r="B40" s="13" t="s">
        <v>78</v>
      </c>
      <c r="C40" s="13"/>
      <c r="D40" s="13">
        <f>IFERROR(D39/C39-1,0)</f>
        <v>3.189614936502605E-2</v>
      </c>
      <c r="E40" s="13">
        <f t="shared" ref="E40:M40" si="16">IFERROR(E39/D39-1,0)</f>
        <v>-0.69540950134463697</v>
      </c>
      <c r="F40" s="13">
        <f t="shared" si="16"/>
        <v>-0.79011124197155724</v>
      </c>
      <c r="G40" s="13">
        <f t="shared" si="16"/>
        <v>-3.5528470983790919</v>
      </c>
      <c r="H40" s="13">
        <f t="shared" si="16"/>
        <v>3.6068467700681115</v>
      </c>
      <c r="I40" s="13">
        <f t="shared" si="16"/>
        <v>-0.84056344011958861</v>
      </c>
      <c r="J40" s="13">
        <f t="shared" si="16"/>
        <v>6.194349033807641</v>
      </c>
      <c r="K40" s="13">
        <f t="shared" si="16"/>
        <v>-0.70909621522659627</v>
      </c>
      <c r="L40" s="13">
        <f t="shared" si="16"/>
        <v>-7.5713542482001346</v>
      </c>
      <c r="M40" s="13">
        <f t="shared" si="16"/>
        <v>-2.5334342997978543E-2</v>
      </c>
      <c r="T40"/>
    </row>
    <row r="42" spans="1:20" x14ac:dyDescent="0.3">
      <c r="B42" t="s">
        <v>77</v>
      </c>
      <c r="C42" s="14">
        <f>IFERROR('Data Sheet'!B31/'Historical FS'!C36,0)</f>
        <v>0</v>
      </c>
      <c r="D42" s="14">
        <f>IFERROR('Data Sheet'!C31/'Historical FS'!D36,0)</f>
        <v>0.23524522028262676</v>
      </c>
      <c r="E42" s="14">
        <f>IFERROR('Data Sheet'!D31/'Historical FS'!E36,0)</f>
        <v>0</v>
      </c>
      <c r="F42" s="14">
        <f>IFERROR('Data Sheet'!E31/'Historical FS'!F36,0)</f>
        <v>0</v>
      </c>
      <c r="G42" s="14">
        <f>IFERROR('Data Sheet'!F31/'Historical FS'!G36,0)</f>
        <v>0</v>
      </c>
      <c r="H42" s="14">
        <f>IFERROR('Data Sheet'!G31/'Historical FS'!H36,0)</f>
        <v>0</v>
      </c>
      <c r="I42" s="14">
        <f>IFERROR('Data Sheet'!H31/'Historical FS'!I36,0)</f>
        <v>0</v>
      </c>
      <c r="J42" s="14">
        <f>IFERROR('Data Sheet'!I31/'Historical FS'!J36,0)</f>
        <v>0</v>
      </c>
      <c r="K42" s="14">
        <f>IFERROR('Data Sheet'!J31/'Historical FS'!K36,0)</f>
        <v>2.3063860536536898</v>
      </c>
      <c r="L42" s="14">
        <f>IFERROR('Data Sheet'!K31/'Historical FS'!L36,0)</f>
        <v>6.9184944489574871</v>
      </c>
      <c r="M42" s="14">
        <f>IFERROR('Data Sheet'!L31/'Historical FS'!M36,0)</f>
        <v>0</v>
      </c>
    </row>
    <row r="43" spans="1:20" x14ac:dyDescent="0.3">
      <c r="B43" s="13" t="s">
        <v>79</v>
      </c>
      <c r="C43" s="13">
        <f>IFERROR(C42/C39,0)</f>
        <v>0</v>
      </c>
      <c r="D43" s="13">
        <f>IFERROR(D42/D39,0)</f>
        <v>4.9323400874633563E-3</v>
      </c>
      <c r="E43" s="13">
        <f t="shared" ref="E43:M43" si="17">IFERROR(E42/E39,0)</f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-0.19275307616818721</v>
      </c>
      <c r="L43" s="13">
        <f t="shared" si="17"/>
        <v>8.7988523801670396E-2</v>
      </c>
      <c r="M43" s="13">
        <f t="shared" si="17"/>
        <v>0</v>
      </c>
    </row>
    <row r="45" spans="1:20" x14ac:dyDescent="0.3">
      <c r="B45" t="s">
        <v>80</v>
      </c>
      <c r="C45" s="23">
        <f>IFERROR(IF(C39&gt;C42,1-C43,0),0)</f>
        <v>1</v>
      </c>
      <c r="D45" s="23">
        <f t="shared" ref="D45:M45" si="18">IFERROR(IF(D39&gt;D42,1-D43,0),0)</f>
        <v>0.99506765991253665</v>
      </c>
      <c r="E45" s="23">
        <f t="shared" si="18"/>
        <v>1</v>
      </c>
      <c r="F45" s="23">
        <f t="shared" si="18"/>
        <v>1</v>
      </c>
      <c r="G45" s="23">
        <f t="shared" si="18"/>
        <v>0</v>
      </c>
      <c r="H45" s="23">
        <f t="shared" si="18"/>
        <v>0</v>
      </c>
      <c r="I45" s="23">
        <f t="shared" si="18"/>
        <v>0</v>
      </c>
      <c r="J45" s="23">
        <f t="shared" si="18"/>
        <v>0</v>
      </c>
      <c r="K45" s="23">
        <f t="shared" si="18"/>
        <v>0</v>
      </c>
      <c r="L45" s="23">
        <f t="shared" si="18"/>
        <v>0.91201147619832956</v>
      </c>
      <c r="M45" s="23">
        <f t="shared" si="18"/>
        <v>1</v>
      </c>
    </row>
    <row r="48" spans="1:20" x14ac:dyDescent="0.3">
      <c r="A48" t="s">
        <v>57</v>
      </c>
      <c r="B48" s="166" t="s">
        <v>81</v>
      </c>
      <c r="C48" s="165">
        <v>42094</v>
      </c>
      <c r="D48" s="165">
        <v>42460</v>
      </c>
      <c r="E48" s="165">
        <v>42825</v>
      </c>
      <c r="F48" s="165">
        <v>43190</v>
      </c>
      <c r="G48" s="165">
        <v>43555</v>
      </c>
      <c r="H48" s="165">
        <v>43921</v>
      </c>
      <c r="I48" s="165">
        <v>44286</v>
      </c>
      <c r="J48" s="165">
        <v>44651</v>
      </c>
      <c r="K48" s="165">
        <v>45016</v>
      </c>
      <c r="L48" s="165">
        <v>45382</v>
      </c>
      <c r="M48" s="165" t="s">
        <v>55</v>
      </c>
    </row>
    <row r="50" spans="2:12" x14ac:dyDescent="0.3">
      <c r="B50" s="6" t="s">
        <v>31</v>
      </c>
      <c r="C50" s="26">
        <f>IFERROR('Data Sheet'!B56,0)</f>
        <v>643.78</v>
      </c>
      <c r="D50" s="26">
        <f>IFERROR('Data Sheet'!C56,0)</f>
        <v>679.18</v>
      </c>
      <c r="E50" s="26">
        <f>IFERROR('Data Sheet'!D56,0)</f>
        <v>679.22</v>
      </c>
      <c r="F50" s="26">
        <f>IFERROR('Data Sheet'!E56,0)</f>
        <v>679.22</v>
      </c>
      <c r="G50" s="26">
        <f>IFERROR('Data Sheet'!F56,0)</f>
        <v>679.22</v>
      </c>
      <c r="H50" s="26">
        <f>IFERROR('Data Sheet'!G56,0)</f>
        <v>719.54</v>
      </c>
      <c r="I50" s="26">
        <f>IFERROR('Data Sheet'!H56,0)</f>
        <v>765.81</v>
      </c>
      <c r="J50" s="26">
        <f>IFERROR('Data Sheet'!I56,0)</f>
        <v>765.88</v>
      </c>
      <c r="K50" s="26">
        <f>IFERROR('Data Sheet'!J56,0)</f>
        <v>766.02</v>
      </c>
      <c r="L50" s="26">
        <f>IFERROR('Data Sheet'!K56,0)</f>
        <v>766.5</v>
      </c>
    </row>
    <row r="51" spans="2:12" x14ac:dyDescent="0.3">
      <c r="B51" s="6" t="s">
        <v>32</v>
      </c>
      <c r="C51" s="26">
        <f>IFERROR('Data Sheet'!B57,0)</f>
        <v>55618.14</v>
      </c>
      <c r="D51" s="26">
        <f>IFERROR('Data Sheet'!C57,0)</f>
        <v>78273.23</v>
      </c>
      <c r="E51" s="26">
        <f>IFERROR('Data Sheet'!D57,0)</f>
        <v>57382.67</v>
      </c>
      <c r="F51" s="26">
        <f>IFERROR('Data Sheet'!E57,0)</f>
        <v>94748.69</v>
      </c>
      <c r="G51" s="26">
        <f>IFERROR('Data Sheet'!F57,0)</f>
        <v>59500.34</v>
      </c>
      <c r="H51" s="26">
        <f>IFERROR('Data Sheet'!G57,0)</f>
        <v>62358.99</v>
      </c>
      <c r="I51" s="26">
        <f>IFERROR('Data Sheet'!H57,0)</f>
        <v>54480.91</v>
      </c>
      <c r="J51" s="26">
        <f>IFERROR('Data Sheet'!I57,0)</f>
        <v>43795.360000000001</v>
      </c>
      <c r="K51" s="26">
        <f>IFERROR('Data Sheet'!J57,0)</f>
        <v>44555.77</v>
      </c>
      <c r="L51" s="26">
        <f>IFERROR('Data Sheet'!K57,0)</f>
        <v>84151.52</v>
      </c>
    </row>
    <row r="52" spans="2:12" x14ac:dyDescent="0.3">
      <c r="B52" s="6" t="s">
        <v>33</v>
      </c>
      <c r="C52" s="26">
        <f>IFERROR('Data Sheet'!B58,0)</f>
        <v>73610.39</v>
      </c>
      <c r="D52" s="26">
        <f>IFERROR('Data Sheet'!C58,0)</f>
        <v>69359.960000000006</v>
      </c>
      <c r="E52" s="26">
        <f>IFERROR('Data Sheet'!D58,0)</f>
        <v>78603.98</v>
      </c>
      <c r="F52" s="26">
        <f>IFERROR('Data Sheet'!E58,0)</f>
        <v>88950.47</v>
      </c>
      <c r="G52" s="26">
        <f>IFERROR('Data Sheet'!F58,0)</f>
        <v>106175.34</v>
      </c>
      <c r="H52" s="26">
        <f>IFERROR('Data Sheet'!G58,0)</f>
        <v>124787.64</v>
      </c>
      <c r="I52" s="26">
        <f>IFERROR('Data Sheet'!H58,0)</f>
        <v>142130.57</v>
      </c>
      <c r="J52" s="26">
        <f>IFERROR('Data Sheet'!I58,0)</f>
        <v>146449.03</v>
      </c>
      <c r="K52" s="26">
        <f>IFERROR('Data Sheet'!J58,0)</f>
        <v>134113.44</v>
      </c>
      <c r="L52" s="26">
        <f>IFERROR('Data Sheet'!K58,0)</f>
        <v>107262.5</v>
      </c>
    </row>
    <row r="53" spans="2:12" x14ac:dyDescent="0.3">
      <c r="B53" s="6" t="s">
        <v>34</v>
      </c>
      <c r="C53" s="26">
        <f>IFERROR('Data Sheet'!B59,0)</f>
        <v>107442.48</v>
      </c>
      <c r="D53" s="26">
        <f>IFERROR('Data Sheet'!C59,0)</f>
        <v>114871.75</v>
      </c>
      <c r="E53" s="26">
        <f>IFERROR('Data Sheet'!D59,0)</f>
        <v>135914.49</v>
      </c>
      <c r="F53" s="26">
        <f>IFERROR('Data Sheet'!E59,0)</f>
        <v>142813.43</v>
      </c>
      <c r="G53" s="26">
        <f>IFERROR('Data Sheet'!F59,0)</f>
        <v>139348.59</v>
      </c>
      <c r="H53" s="26">
        <f>IFERROR('Data Sheet'!G59,0)</f>
        <v>132313.22</v>
      </c>
      <c r="I53" s="26">
        <f>IFERROR('Data Sheet'!H59,0)</f>
        <v>144192.62</v>
      </c>
      <c r="J53" s="26">
        <f>IFERROR('Data Sheet'!I59,0)</f>
        <v>138051.22</v>
      </c>
      <c r="K53" s="26">
        <f>IFERROR('Data Sheet'!J59,0)</f>
        <v>155239.20000000001</v>
      </c>
      <c r="L53" s="26">
        <f>IFERROR('Data Sheet'!K59,0)</f>
        <v>177340.09</v>
      </c>
    </row>
    <row r="54" spans="2:12" x14ac:dyDescent="0.3">
      <c r="B54" s="32" t="s">
        <v>82</v>
      </c>
      <c r="C54" s="33">
        <f>IFERROR('Data Sheet'!B60,0)</f>
        <v>237314.79</v>
      </c>
      <c r="D54" s="33">
        <f>IFERROR('Data Sheet'!C60,0)</f>
        <v>263184.12</v>
      </c>
      <c r="E54" s="33">
        <f>IFERROR('Data Sheet'!D60,0)</f>
        <v>272580.36</v>
      </c>
      <c r="F54" s="33">
        <f>IFERROR('Data Sheet'!E60,0)</f>
        <v>327191.81</v>
      </c>
      <c r="G54" s="33">
        <f>IFERROR('Data Sheet'!F60,0)</f>
        <v>305703.49</v>
      </c>
      <c r="H54" s="33">
        <f>IFERROR('Data Sheet'!G60,0)</f>
        <v>320179.39</v>
      </c>
      <c r="I54" s="33">
        <f>IFERROR('Data Sheet'!H60,0)</f>
        <v>341569.91</v>
      </c>
      <c r="J54" s="33">
        <f>IFERROR('Data Sheet'!I60,0)</f>
        <v>329061.49</v>
      </c>
      <c r="K54" s="33">
        <f>IFERROR('Data Sheet'!J60,0)</f>
        <v>334674.43</v>
      </c>
      <c r="L54" s="33">
        <f>IFERROR('Data Sheet'!K60,0)</f>
        <v>369520.61</v>
      </c>
    </row>
    <row r="55" spans="2:12" x14ac:dyDescent="0.3">
      <c r="B55" s="24"/>
    </row>
    <row r="56" spans="2:12" x14ac:dyDescent="0.3">
      <c r="B56" s="6" t="s">
        <v>83</v>
      </c>
      <c r="C56" s="26">
        <f>IFERROR('Data Sheet'!B61,0)</f>
        <v>88479.49</v>
      </c>
      <c r="D56" s="26">
        <f>IFERROR('Data Sheet'!C61,0)</f>
        <v>107231.76</v>
      </c>
      <c r="E56" s="26">
        <f>IFERROR('Data Sheet'!D61,0)</f>
        <v>95944.08</v>
      </c>
      <c r="F56" s="26">
        <f>IFERROR('Data Sheet'!E61,0)</f>
        <v>121413.86</v>
      </c>
      <c r="G56" s="26">
        <f>IFERROR('Data Sheet'!F61,0)</f>
        <v>111234.47</v>
      </c>
      <c r="H56" s="26">
        <f>IFERROR('Data Sheet'!G61,0)</f>
        <v>127107.14</v>
      </c>
      <c r="I56" s="26">
        <f>IFERROR('Data Sheet'!H61,0)</f>
        <v>138707.60999999999</v>
      </c>
      <c r="J56" s="26">
        <f>IFERROR('Data Sheet'!I61,0)</f>
        <v>138855.45000000001</v>
      </c>
      <c r="K56" s="26">
        <f>IFERROR('Data Sheet'!J61,0)</f>
        <v>132079.76</v>
      </c>
      <c r="L56" s="26">
        <f>IFERROR('Data Sheet'!K61,0)</f>
        <v>121285.46</v>
      </c>
    </row>
    <row r="57" spans="2:12" x14ac:dyDescent="0.3">
      <c r="B57" s="6" t="s">
        <v>37</v>
      </c>
      <c r="C57" s="26">
        <f>IFERROR('Data Sheet'!B62,0)</f>
        <v>28640.09</v>
      </c>
      <c r="D57" s="26">
        <f>IFERROR('Data Sheet'!C62,0)</f>
        <v>25918.94</v>
      </c>
      <c r="E57" s="26">
        <f>IFERROR('Data Sheet'!D62,0)</f>
        <v>33698.839999999997</v>
      </c>
      <c r="F57" s="26">
        <f>IFERROR('Data Sheet'!E62,0)</f>
        <v>40033.5</v>
      </c>
      <c r="G57" s="26">
        <f>IFERROR('Data Sheet'!F62,0)</f>
        <v>31883.84</v>
      </c>
      <c r="H57" s="26">
        <f>IFERROR('Data Sheet'!G62,0)</f>
        <v>35622.29</v>
      </c>
      <c r="I57" s="26">
        <f>IFERROR('Data Sheet'!H62,0)</f>
        <v>20963.93</v>
      </c>
      <c r="J57" s="26">
        <f>IFERROR('Data Sheet'!I62,0)</f>
        <v>10251.09</v>
      </c>
      <c r="K57" s="26">
        <f>IFERROR('Data Sheet'!J62,0)</f>
        <v>14274.5</v>
      </c>
      <c r="L57" s="26">
        <f>IFERROR('Data Sheet'!K62,0)</f>
        <v>35698.43</v>
      </c>
    </row>
    <row r="58" spans="2:12" x14ac:dyDescent="0.3">
      <c r="B58" s="6" t="s">
        <v>38</v>
      </c>
      <c r="C58" s="26">
        <f>IFERROR('Data Sheet'!B63,0)</f>
        <v>15336.74</v>
      </c>
      <c r="D58" s="26">
        <f>IFERROR('Data Sheet'!C63,0)</f>
        <v>23767.02</v>
      </c>
      <c r="E58" s="26">
        <f>IFERROR('Data Sheet'!D63,0)</f>
        <v>20337.919999999998</v>
      </c>
      <c r="F58" s="26">
        <f>IFERROR('Data Sheet'!E63,0)</f>
        <v>20812.75</v>
      </c>
      <c r="G58" s="26">
        <f>IFERROR('Data Sheet'!F63,0)</f>
        <v>15770.72</v>
      </c>
      <c r="H58" s="26">
        <f>IFERROR('Data Sheet'!G63,0)</f>
        <v>16308.48</v>
      </c>
      <c r="I58" s="26">
        <f>IFERROR('Data Sheet'!H63,0)</f>
        <v>24620.28</v>
      </c>
      <c r="J58" s="26">
        <f>IFERROR('Data Sheet'!I63,0)</f>
        <v>29379.53</v>
      </c>
      <c r="K58" s="26">
        <f>IFERROR('Data Sheet'!J63,0)</f>
        <v>26379.16</v>
      </c>
      <c r="L58" s="26">
        <f>IFERROR('Data Sheet'!K63,0)</f>
        <v>22971.07</v>
      </c>
    </row>
    <row r="59" spans="2:12" x14ac:dyDescent="0.3">
      <c r="B59" s="6" t="s">
        <v>39</v>
      </c>
      <c r="C59" s="26">
        <f>IFERROR('Data Sheet'!B64-SUM('Data Sheet'!B66:B68),0)</f>
        <v>30891.17</v>
      </c>
      <c r="D59" s="26">
        <f>IFERROR('Data Sheet'!C64-SUM('Data Sheet'!C66:C68),0)</f>
        <v>29579.359999999986</v>
      </c>
      <c r="E59" s="26">
        <f>IFERROR('Data Sheet'!D64-SUM('Data Sheet'!D66:D68),0)</f>
        <v>37360.780000000013</v>
      </c>
      <c r="F59" s="26">
        <f>IFERROR('Data Sheet'!E64-SUM('Data Sheet'!E66:E68),0)</f>
        <v>48286.860000000015</v>
      </c>
      <c r="G59" s="26">
        <f>IFERROR('Data Sheet'!F64-SUM('Data Sheet'!F66:F68),0)</f>
        <v>56155.739999999991</v>
      </c>
      <c r="H59" s="26">
        <f>IFERROR('Data Sheet'!G64-SUM('Data Sheet'!G66:G68),0)</f>
        <v>58784.94</v>
      </c>
      <c r="I59" s="26">
        <f>IFERROR('Data Sheet'!H64-SUM('Data Sheet'!H66:H68),0)</f>
        <v>61717.959999999992</v>
      </c>
      <c r="J59" s="26">
        <f>IFERROR('Data Sheet'!I64-SUM('Data Sheet'!I66:I68),0)</f>
        <v>62223.770000000019</v>
      </c>
      <c r="K59" s="26">
        <f>IFERROR('Data Sheet'!J64-SUM('Data Sheet'!J66:J68),0)</f>
        <v>68432.090000000011</v>
      </c>
      <c r="L59" s="26">
        <f>IFERROR('Data Sheet'!K64-SUM('Data Sheet'!K66:K68),0)</f>
        <v>79018.859999999986</v>
      </c>
    </row>
    <row r="60" spans="2:12" x14ac:dyDescent="0.3">
      <c r="B60" s="32" t="s">
        <v>84</v>
      </c>
      <c r="C60" s="33">
        <f>IFERROR(SUM(C56:C59),0)</f>
        <v>163347.49</v>
      </c>
      <c r="D60" s="33">
        <f t="shared" ref="D60:L60" si="19">IFERROR(SUM(D56:D59),0)</f>
        <v>186497.07999999996</v>
      </c>
      <c r="E60" s="33">
        <f t="shared" si="19"/>
        <v>187341.62</v>
      </c>
      <c r="F60" s="33">
        <f t="shared" si="19"/>
        <v>230546.97</v>
      </c>
      <c r="G60" s="33">
        <f t="shared" si="19"/>
        <v>215044.77</v>
      </c>
      <c r="H60" s="33">
        <f t="shared" si="19"/>
        <v>237822.85</v>
      </c>
      <c r="I60" s="33">
        <f t="shared" si="19"/>
        <v>246009.77999999997</v>
      </c>
      <c r="J60" s="33">
        <f t="shared" si="19"/>
        <v>240709.84000000003</v>
      </c>
      <c r="K60" s="33">
        <f t="shared" si="19"/>
        <v>241165.51</v>
      </c>
      <c r="L60" s="33">
        <f t="shared" si="19"/>
        <v>258973.82</v>
      </c>
    </row>
    <row r="62" spans="2:12" x14ac:dyDescent="0.3">
      <c r="B62" s="6" t="s">
        <v>40</v>
      </c>
      <c r="C62" s="26">
        <f>IFERROR('Data Sheet'!B66,0)</f>
        <v>12579.2</v>
      </c>
      <c r="D62" s="26">
        <f>IFERROR('Data Sheet'!C66,0)</f>
        <v>13570.91</v>
      </c>
      <c r="E62" s="26">
        <f>IFERROR('Data Sheet'!D66,0)</f>
        <v>14075.55</v>
      </c>
      <c r="F62" s="26">
        <f>IFERROR('Data Sheet'!E66,0)</f>
        <v>19893.3</v>
      </c>
      <c r="G62" s="26">
        <f>IFERROR('Data Sheet'!F66,0)</f>
        <v>18996.169999999998</v>
      </c>
      <c r="H62" s="26">
        <f>IFERROR('Data Sheet'!G66,0)</f>
        <v>11172.69</v>
      </c>
      <c r="I62" s="26">
        <f>IFERROR('Data Sheet'!H66,0)</f>
        <v>12679.08</v>
      </c>
      <c r="J62" s="26">
        <f>IFERROR('Data Sheet'!I66,0)</f>
        <v>12442.12</v>
      </c>
      <c r="K62" s="26">
        <f>IFERROR('Data Sheet'!J66,0)</f>
        <v>15737.97</v>
      </c>
      <c r="L62" s="26">
        <f>IFERROR('Data Sheet'!K66,0)</f>
        <v>16951.810000000001</v>
      </c>
    </row>
    <row r="63" spans="2:12" x14ac:dyDescent="0.3">
      <c r="B63" s="6" t="s">
        <v>41</v>
      </c>
      <c r="C63" s="26">
        <f>IFERROR('Data Sheet'!B67,0)</f>
        <v>29272.34</v>
      </c>
      <c r="D63" s="26">
        <f>IFERROR('Data Sheet'!C67,0)</f>
        <v>32655.73</v>
      </c>
      <c r="E63" s="26">
        <f>IFERROR('Data Sheet'!D67,0)</f>
        <v>35085.31</v>
      </c>
      <c r="F63" s="26">
        <f>IFERROR('Data Sheet'!E67,0)</f>
        <v>42137.63</v>
      </c>
      <c r="G63" s="26">
        <f>IFERROR('Data Sheet'!F67,0)</f>
        <v>39013.730000000003</v>
      </c>
      <c r="H63" s="26">
        <f>IFERROR('Data Sheet'!G67,0)</f>
        <v>37456.879999999997</v>
      </c>
      <c r="I63" s="26">
        <f>IFERROR('Data Sheet'!H67,0)</f>
        <v>36088.589999999997</v>
      </c>
      <c r="J63" s="26">
        <f>IFERROR('Data Sheet'!I67,0)</f>
        <v>35240.339999999997</v>
      </c>
      <c r="K63" s="26">
        <f>IFERROR('Data Sheet'!J67,0)</f>
        <v>40755.39</v>
      </c>
      <c r="L63" s="26">
        <f>IFERROR('Data Sheet'!K67,0)</f>
        <v>47788.29</v>
      </c>
    </row>
    <row r="64" spans="2:12" x14ac:dyDescent="0.3">
      <c r="B64" s="2" t="s">
        <v>42</v>
      </c>
      <c r="C64" s="26">
        <f>IFERROR('Data Sheet'!B68,0)</f>
        <v>32115.759999999998</v>
      </c>
      <c r="D64" s="26">
        <f>IFERROR('Data Sheet'!C68,0)</f>
        <v>30460.400000000001</v>
      </c>
      <c r="E64" s="26">
        <f>IFERROR('Data Sheet'!D68,0)</f>
        <v>36077.879999999997</v>
      </c>
      <c r="F64" s="26">
        <f>IFERROR('Data Sheet'!E68,0)</f>
        <v>34613.910000000003</v>
      </c>
      <c r="G64" s="26">
        <f>IFERROR('Data Sheet'!F68,0)</f>
        <v>32648.82</v>
      </c>
      <c r="H64" s="26">
        <f>IFERROR('Data Sheet'!G68,0)</f>
        <v>33726.97</v>
      </c>
      <c r="I64" s="26">
        <f>IFERROR('Data Sheet'!H68,0)</f>
        <v>46792.46</v>
      </c>
      <c r="J64" s="26">
        <f>IFERROR('Data Sheet'!I68,0)</f>
        <v>40669.19</v>
      </c>
      <c r="K64" s="26">
        <f>IFERROR('Data Sheet'!J68,0)</f>
        <v>37015.56</v>
      </c>
      <c r="L64" s="26">
        <f>IFERROR('Data Sheet'!K68,0)</f>
        <v>45806.69</v>
      </c>
    </row>
    <row r="65" spans="1:13" x14ac:dyDescent="0.3">
      <c r="B65" s="30" t="s">
        <v>85</v>
      </c>
      <c r="C65" s="33">
        <f>IFERROR(SUM(C62:C64),0)</f>
        <v>73967.3</v>
      </c>
      <c r="D65" s="33">
        <f t="shared" ref="D65:L65" si="20">IFERROR(SUM(D62:D64),0)</f>
        <v>76687.040000000008</v>
      </c>
      <c r="E65" s="33">
        <f t="shared" si="20"/>
        <v>85238.739999999991</v>
      </c>
      <c r="F65" s="33">
        <f t="shared" si="20"/>
        <v>96644.84</v>
      </c>
      <c r="G65" s="33">
        <f t="shared" si="20"/>
        <v>90658.72</v>
      </c>
      <c r="H65" s="33">
        <f t="shared" si="20"/>
        <v>82356.540000000008</v>
      </c>
      <c r="I65" s="33">
        <f t="shared" si="20"/>
        <v>95560.13</v>
      </c>
      <c r="J65" s="33">
        <f t="shared" si="20"/>
        <v>88351.65</v>
      </c>
      <c r="K65" s="33">
        <f t="shared" si="20"/>
        <v>93508.92</v>
      </c>
      <c r="L65" s="33">
        <f t="shared" si="20"/>
        <v>110546.79000000001</v>
      </c>
    </row>
    <row r="67" spans="1:13" x14ac:dyDescent="0.3">
      <c r="B67" s="30" t="s">
        <v>86</v>
      </c>
      <c r="C67" s="33">
        <f>IFERROR(SUM(C60,C65),0)</f>
        <v>237314.78999999998</v>
      </c>
      <c r="D67" s="33">
        <f t="shared" ref="D67:L67" si="21">IFERROR(SUM(D60,D65),0)</f>
        <v>263184.12</v>
      </c>
      <c r="E67" s="33">
        <f t="shared" si="21"/>
        <v>272580.36</v>
      </c>
      <c r="F67" s="33">
        <f t="shared" si="21"/>
        <v>327191.81</v>
      </c>
      <c r="G67" s="33">
        <f t="shared" si="21"/>
        <v>305703.49</v>
      </c>
      <c r="H67" s="33">
        <f t="shared" si="21"/>
        <v>320179.39</v>
      </c>
      <c r="I67" s="33">
        <f t="shared" si="21"/>
        <v>341569.91</v>
      </c>
      <c r="J67" s="33">
        <f t="shared" si="21"/>
        <v>329061.49</v>
      </c>
      <c r="K67" s="33">
        <f t="shared" si="21"/>
        <v>334674.43</v>
      </c>
      <c r="L67" s="33">
        <f t="shared" si="21"/>
        <v>369520.61</v>
      </c>
    </row>
    <row r="69" spans="1:13" x14ac:dyDescent="0.3">
      <c r="B69" s="27" t="s">
        <v>87</v>
      </c>
      <c r="C69" s="27" t="b">
        <f>C54=C67</f>
        <v>1</v>
      </c>
      <c r="D69" s="27" t="b">
        <f t="shared" ref="D69:L69" si="22">D54=D67</f>
        <v>1</v>
      </c>
      <c r="E69" s="27" t="b">
        <f t="shared" si="22"/>
        <v>1</v>
      </c>
      <c r="F69" s="27" t="b">
        <f t="shared" si="22"/>
        <v>1</v>
      </c>
      <c r="G69" s="27" t="b">
        <f t="shared" si="22"/>
        <v>1</v>
      </c>
      <c r="H69" s="27" t="b">
        <f t="shared" si="22"/>
        <v>1</v>
      </c>
      <c r="I69" s="27" t="b">
        <f t="shared" si="22"/>
        <v>1</v>
      </c>
      <c r="J69" s="27" t="b">
        <f t="shared" si="22"/>
        <v>1</v>
      </c>
      <c r="K69" s="27" t="b">
        <f t="shared" si="22"/>
        <v>1</v>
      </c>
      <c r="L69" s="27" t="b">
        <f t="shared" si="22"/>
        <v>1</v>
      </c>
    </row>
    <row r="71" spans="1:13" x14ac:dyDescent="0.3">
      <c r="A71" t="s">
        <v>57</v>
      </c>
      <c r="B71" s="166" t="s">
        <v>116</v>
      </c>
      <c r="C71" s="165">
        <v>42094</v>
      </c>
      <c r="D71" s="165">
        <v>42460</v>
      </c>
      <c r="E71" s="165">
        <v>42825</v>
      </c>
      <c r="F71" s="165">
        <v>43190</v>
      </c>
      <c r="G71" s="165">
        <v>43555</v>
      </c>
      <c r="H71" s="165">
        <v>43921</v>
      </c>
      <c r="I71" s="165">
        <v>44286</v>
      </c>
      <c r="J71" s="165">
        <v>44651</v>
      </c>
      <c r="K71" s="165">
        <v>45016</v>
      </c>
      <c r="L71" s="165">
        <v>45382</v>
      </c>
      <c r="M71" s="165" t="s">
        <v>55</v>
      </c>
    </row>
    <row r="72" spans="1:13" x14ac:dyDescent="0.3">
      <c r="B72" s="25" t="s">
        <v>118</v>
      </c>
    </row>
    <row r="73" spans="1:13" x14ac:dyDescent="0.3">
      <c r="B73" t="s">
        <v>89</v>
      </c>
      <c r="C73" s="26">
        <f>IFERROR('Cash Flow Data'!C4,0)</f>
        <v>43397</v>
      </c>
      <c r="D73" s="26">
        <f>IFERROR('Cash Flow Data'!D4,0)</f>
        <v>38626</v>
      </c>
      <c r="E73" s="26">
        <f>IFERROR('Cash Flow Data'!E4,0)</f>
        <v>28840</v>
      </c>
      <c r="F73" s="26">
        <f>IFERROR('Cash Flow Data'!F4,0)</f>
        <v>33312</v>
      </c>
      <c r="G73" s="26">
        <f>IFERROR('Cash Flow Data'!G4,0)</f>
        <v>28771</v>
      </c>
      <c r="H73" s="26">
        <f>IFERROR('Cash Flow Data'!H4,0)</f>
        <v>23352</v>
      </c>
      <c r="I73" s="26">
        <f>IFERROR('Cash Flow Data'!I4,0)</f>
        <v>31198</v>
      </c>
      <c r="J73" s="26">
        <f>IFERROR('Cash Flow Data'!J4,0)</f>
        <v>26943</v>
      </c>
      <c r="K73" s="26">
        <f>IFERROR('Cash Flow Data'!K4,0)</f>
        <v>41694</v>
      </c>
      <c r="L73" s="26">
        <f>IFERROR('Cash Flow Data'!L4,0)</f>
        <v>65106</v>
      </c>
    </row>
    <row r="74" spans="1:13" x14ac:dyDescent="0.3">
      <c r="B74" t="s">
        <v>40</v>
      </c>
      <c r="C74" s="26">
        <f>IFERROR('Cash Flow Data'!C5,0)</f>
        <v>-3179</v>
      </c>
      <c r="D74" s="26">
        <f>IFERROR('Cash Flow Data'!D5,0)</f>
        <v>-2223</v>
      </c>
      <c r="E74" s="26">
        <f>IFERROR('Cash Flow Data'!E5,0)</f>
        <v>-4152</v>
      </c>
      <c r="F74" s="26">
        <f>IFERROR('Cash Flow Data'!F5,0)</f>
        <v>-10688</v>
      </c>
      <c r="G74" s="26">
        <f>IFERROR('Cash Flow Data'!G5,0)</f>
        <v>-9109</v>
      </c>
      <c r="H74" s="26">
        <f>IFERROR('Cash Flow Data'!H5,0)</f>
        <v>9950</v>
      </c>
      <c r="I74" s="26">
        <f>IFERROR('Cash Flow Data'!I5,0)</f>
        <v>-5505</v>
      </c>
      <c r="J74" s="26">
        <f>IFERROR('Cash Flow Data'!J5,0)</f>
        <v>185</v>
      </c>
      <c r="K74" s="26">
        <f>IFERROR('Cash Flow Data'!K5,0)</f>
        <v>-2213</v>
      </c>
      <c r="L74" s="26">
        <f>IFERROR('Cash Flow Data'!L5,0)</f>
        <v>-1875</v>
      </c>
    </row>
    <row r="75" spans="1:13" x14ac:dyDescent="0.3">
      <c r="B75" t="s">
        <v>41</v>
      </c>
      <c r="C75" s="26">
        <f>IFERROR('Cash Flow Data'!C6,0)</f>
        <v>-3692</v>
      </c>
      <c r="D75" s="26">
        <f>IFERROR('Cash Flow Data'!D6,0)</f>
        <v>-5743</v>
      </c>
      <c r="E75" s="26">
        <f>IFERROR('Cash Flow Data'!E6,0)</f>
        <v>-6621</v>
      </c>
      <c r="F75" s="26">
        <f>IFERROR('Cash Flow Data'!F6,0)</f>
        <v>-3560</v>
      </c>
      <c r="G75" s="26">
        <f>IFERROR('Cash Flow Data'!G6,0)</f>
        <v>2069</v>
      </c>
      <c r="H75" s="26">
        <f>IFERROR('Cash Flow Data'!H6,0)</f>
        <v>2326</v>
      </c>
      <c r="I75" s="26">
        <f>IFERROR('Cash Flow Data'!I6,0)</f>
        <v>3814</v>
      </c>
      <c r="J75" s="26">
        <f>IFERROR('Cash Flow Data'!J6,0)</f>
        <v>472</v>
      </c>
      <c r="K75" s="26">
        <f>IFERROR('Cash Flow Data'!K6,0)</f>
        <v>-5665</v>
      </c>
      <c r="L75" s="26">
        <f>IFERROR('Cash Flow Data'!L6,0)</f>
        <v>-7265</v>
      </c>
    </row>
    <row r="76" spans="1:13" x14ac:dyDescent="0.3">
      <c r="B76" t="s">
        <v>90</v>
      </c>
      <c r="C76" s="26">
        <f>IFERROR('Cash Flow Data'!C7,0)</f>
        <v>3598</v>
      </c>
      <c r="D76" s="26">
        <f>IFERROR('Cash Flow Data'!D7,0)</f>
        <v>3947</v>
      </c>
      <c r="E76" s="26">
        <f>IFERROR('Cash Flow Data'!E7,0)</f>
        <v>9301</v>
      </c>
      <c r="F76" s="26">
        <f>IFERROR('Cash Flow Data'!F7,0)</f>
        <v>7320</v>
      </c>
      <c r="G76" s="26">
        <f>IFERROR('Cash Flow Data'!G7,0)</f>
        <v>-4692</v>
      </c>
      <c r="H76" s="26">
        <f>IFERROR('Cash Flow Data'!H7,0)</f>
        <v>-8085</v>
      </c>
      <c r="I76" s="26">
        <f>IFERROR('Cash Flow Data'!I7,0)</f>
        <v>5748</v>
      </c>
      <c r="J76" s="26">
        <f>IFERROR('Cash Flow Data'!J7,0)</f>
        <v>-7012</v>
      </c>
      <c r="K76" s="26">
        <f>IFERROR('Cash Flow Data'!K7,0)</f>
        <v>6945</v>
      </c>
      <c r="L76" s="26">
        <f>IFERROR('Cash Flow Data'!L7,0)</f>
        <v>13706</v>
      </c>
    </row>
    <row r="77" spans="1:13" x14ac:dyDescent="0.3">
      <c r="B77" t="s">
        <v>91</v>
      </c>
      <c r="C77" s="26">
        <f>IFERROR('Cash Flow Data'!C8,0)</f>
        <v>0</v>
      </c>
      <c r="D77" s="26">
        <f>IFERROR('Cash Flow Data'!D8,0)</f>
        <v>-520</v>
      </c>
      <c r="E77" s="26">
        <f>IFERROR('Cash Flow Data'!E8,0)</f>
        <v>0</v>
      </c>
      <c r="F77" s="26">
        <f>IFERROR('Cash Flow Data'!F8,0)</f>
        <v>0</v>
      </c>
      <c r="G77" s="26">
        <f>IFERROR('Cash Flow Data'!G8,0)</f>
        <v>0</v>
      </c>
      <c r="H77" s="26">
        <f>IFERROR('Cash Flow Data'!H8,0)</f>
        <v>0</v>
      </c>
      <c r="I77" s="26">
        <f>IFERROR('Cash Flow Data'!I8,0)</f>
        <v>0</v>
      </c>
      <c r="J77" s="26">
        <f>IFERROR('Cash Flow Data'!J8,0)</f>
        <v>0</v>
      </c>
      <c r="K77" s="26">
        <f>IFERROR('Cash Flow Data'!K8,0)</f>
        <v>0</v>
      </c>
      <c r="L77" s="26">
        <f>IFERROR('Cash Flow Data'!L8,0)</f>
        <v>0</v>
      </c>
    </row>
    <row r="78" spans="1:13" x14ac:dyDescent="0.3">
      <c r="B78" t="s">
        <v>92</v>
      </c>
      <c r="C78" s="26">
        <f>IFERROR('Cash Flow Data'!C9,0)</f>
        <v>-398</v>
      </c>
      <c r="D78" s="26">
        <f>IFERROR('Cash Flow Data'!D9,0)</f>
        <v>5852</v>
      </c>
      <c r="E78" s="26">
        <f>IFERROR('Cash Flow Data'!E9,0)</f>
        <v>4727</v>
      </c>
      <c r="F78" s="26">
        <f>IFERROR('Cash Flow Data'!F9,0)</f>
        <v>494</v>
      </c>
      <c r="G78" s="26">
        <f>IFERROR('Cash Flow Data'!G9,0)</f>
        <v>4512</v>
      </c>
      <c r="H78" s="26">
        <f>IFERROR('Cash Flow Data'!H9,0)</f>
        <v>875</v>
      </c>
      <c r="I78" s="26">
        <f>IFERROR('Cash Flow Data'!I9,0)</f>
        <v>-4150</v>
      </c>
      <c r="J78" s="26">
        <f>IFERROR('Cash Flow Data'!J9,0)</f>
        <v>-4396</v>
      </c>
      <c r="K78" s="26">
        <f>IFERROR('Cash Flow Data'!K9,0)</f>
        <v>-2194</v>
      </c>
      <c r="L78" s="26">
        <f>IFERROR('Cash Flow Data'!L9,0)</f>
        <v>2760</v>
      </c>
    </row>
    <row r="79" spans="1:13" x14ac:dyDescent="0.3">
      <c r="B79" t="s">
        <v>93</v>
      </c>
      <c r="C79" s="26">
        <f>IFERROR('Cash Flow Data'!C10,0)</f>
        <v>-3672</v>
      </c>
      <c r="D79" s="26">
        <f>IFERROR('Cash Flow Data'!D10,0)</f>
        <v>1313</v>
      </c>
      <c r="E79" s="26">
        <f>IFERROR('Cash Flow Data'!E10,0)</f>
        <v>3254</v>
      </c>
      <c r="F79" s="26">
        <f>IFERROR('Cash Flow Data'!F10,0)</f>
        <v>-6434</v>
      </c>
      <c r="G79" s="26">
        <f>IFERROR('Cash Flow Data'!G10,0)</f>
        <v>-7221</v>
      </c>
      <c r="H79" s="26">
        <f>IFERROR('Cash Flow Data'!H10,0)</f>
        <v>5065</v>
      </c>
      <c r="I79" s="26">
        <f>IFERROR('Cash Flow Data'!I10,0)</f>
        <v>-93</v>
      </c>
      <c r="J79" s="26">
        <f>IFERROR('Cash Flow Data'!J10,0)</f>
        <v>-10750</v>
      </c>
      <c r="K79" s="26">
        <f>IFERROR('Cash Flow Data'!K10,0)</f>
        <v>-3127</v>
      </c>
      <c r="L79" s="26">
        <f>IFERROR('Cash Flow Data'!L10,0)</f>
        <v>7325</v>
      </c>
    </row>
    <row r="80" spans="1:13" x14ac:dyDescent="0.3">
      <c r="B80" t="s">
        <v>94</v>
      </c>
      <c r="C80" s="26">
        <f>IFERROR('Cash Flow Data'!C11,0)</f>
        <v>-4194</v>
      </c>
      <c r="D80" s="26">
        <f>IFERROR('Cash Flow Data'!D11,0)</f>
        <v>-2040</v>
      </c>
      <c r="E80" s="26">
        <f>IFERROR('Cash Flow Data'!E11,0)</f>
        <v>-1895</v>
      </c>
      <c r="F80" s="26">
        <f>IFERROR('Cash Flow Data'!F11,0)</f>
        <v>-3021</v>
      </c>
      <c r="G80" s="26">
        <f>IFERROR('Cash Flow Data'!G11,0)</f>
        <v>-2659</v>
      </c>
      <c r="H80" s="26">
        <f>IFERROR('Cash Flow Data'!H11,0)</f>
        <v>-1785</v>
      </c>
      <c r="I80" s="26">
        <f>IFERROR('Cash Flow Data'!I11,0)</f>
        <v>-2105</v>
      </c>
      <c r="J80" s="26">
        <f>IFERROR('Cash Flow Data'!J11,0)</f>
        <v>-1910</v>
      </c>
      <c r="K80" s="26">
        <f>IFERROR('Cash Flow Data'!K11,0)</f>
        <v>-3179</v>
      </c>
      <c r="L80" s="26">
        <f>IFERROR('Cash Flow Data'!L11,0)</f>
        <v>-4516</v>
      </c>
    </row>
    <row r="81" spans="2:12" x14ac:dyDescent="0.3">
      <c r="B81" s="30" t="s">
        <v>117</v>
      </c>
      <c r="C81" s="33">
        <f>IFERROR(SUM(C73:C80),0)</f>
        <v>31860</v>
      </c>
      <c r="D81" s="33">
        <f t="shared" ref="D81:L81" si="23">IFERROR(SUM(D73:D80),0)</f>
        <v>39212</v>
      </c>
      <c r="E81" s="33">
        <f t="shared" si="23"/>
        <v>33454</v>
      </c>
      <c r="F81" s="33">
        <f t="shared" si="23"/>
        <v>17423</v>
      </c>
      <c r="G81" s="33">
        <f t="shared" si="23"/>
        <v>11671</v>
      </c>
      <c r="H81" s="33">
        <f t="shared" si="23"/>
        <v>31698</v>
      </c>
      <c r="I81" s="33">
        <f t="shared" si="23"/>
        <v>28907</v>
      </c>
      <c r="J81" s="33">
        <f t="shared" si="23"/>
        <v>3532</v>
      </c>
      <c r="K81" s="33">
        <f t="shared" si="23"/>
        <v>32261</v>
      </c>
      <c r="L81" s="33">
        <f t="shared" si="23"/>
        <v>75241</v>
      </c>
    </row>
    <row r="83" spans="2:12" x14ac:dyDescent="0.3">
      <c r="B83" s="25" t="s">
        <v>119</v>
      </c>
    </row>
    <row r="84" spans="2:12" x14ac:dyDescent="0.3">
      <c r="B84" t="s">
        <v>96</v>
      </c>
      <c r="C84" s="26">
        <f>IFERROR('Cash Flow Data'!C13,0)</f>
        <v>-31962</v>
      </c>
      <c r="D84" s="26">
        <f>IFERROR('Cash Flow Data'!D13,0)</f>
        <v>-31503</v>
      </c>
      <c r="E84" s="26">
        <f>IFERROR('Cash Flow Data'!E13,0)</f>
        <v>-16072</v>
      </c>
      <c r="F84" s="26">
        <f>IFERROR('Cash Flow Data'!F13,0)</f>
        <v>-35079</v>
      </c>
      <c r="G84" s="26">
        <f>IFERROR('Cash Flow Data'!G13,0)</f>
        <v>-35304</v>
      </c>
      <c r="H84" s="26">
        <f>IFERROR('Cash Flow Data'!H13,0)</f>
        <v>-29702</v>
      </c>
      <c r="I84" s="26">
        <f>IFERROR('Cash Flow Data'!I13,0)</f>
        <v>-20205</v>
      </c>
      <c r="J84" s="26">
        <f>IFERROR('Cash Flow Data'!J13,0)</f>
        <v>-15168</v>
      </c>
      <c r="K84" s="26">
        <f>IFERROR('Cash Flow Data'!K13,0)</f>
        <v>-19230</v>
      </c>
      <c r="L84" s="26">
        <f>IFERROR('Cash Flow Data'!L13,0)</f>
        <v>-31414</v>
      </c>
    </row>
    <row r="85" spans="2:12" x14ac:dyDescent="0.3">
      <c r="B85" t="s">
        <v>97</v>
      </c>
      <c r="C85" s="26">
        <f>IFERROR('Cash Flow Data'!C14,0)</f>
        <v>74</v>
      </c>
      <c r="D85" s="26">
        <f>IFERROR('Cash Flow Data'!D14,0)</f>
        <v>59</v>
      </c>
      <c r="E85" s="26">
        <f>IFERROR('Cash Flow Data'!E14,0)</f>
        <v>53</v>
      </c>
      <c r="F85" s="26">
        <f>IFERROR('Cash Flow Data'!F14,0)</f>
        <v>30</v>
      </c>
      <c r="G85" s="26">
        <f>IFERROR('Cash Flow Data'!G14,0)</f>
        <v>67</v>
      </c>
      <c r="H85" s="26">
        <f>IFERROR('Cash Flow Data'!H14,0)</f>
        <v>171</v>
      </c>
      <c r="I85" s="26">
        <f>IFERROR('Cash Flow Data'!I14,0)</f>
        <v>351</v>
      </c>
      <c r="J85" s="26">
        <f>IFERROR('Cash Flow Data'!J14,0)</f>
        <v>230</v>
      </c>
      <c r="K85" s="26">
        <f>IFERROR('Cash Flow Data'!K14,0)</f>
        <v>285</v>
      </c>
      <c r="L85" s="26">
        <f>IFERROR('Cash Flow Data'!L14,0)</f>
        <v>231</v>
      </c>
    </row>
    <row r="86" spans="2:12" x14ac:dyDescent="0.3">
      <c r="B86" t="s">
        <v>98</v>
      </c>
      <c r="C86" s="26">
        <f>IFERROR('Cash Flow Data'!C15,0)</f>
        <v>-5461</v>
      </c>
      <c r="D86" s="26">
        <f>IFERROR('Cash Flow Data'!D15,0)</f>
        <v>-4728</v>
      </c>
      <c r="E86" s="26">
        <f>IFERROR('Cash Flow Data'!E15,0)</f>
        <v>-6</v>
      </c>
      <c r="F86" s="26">
        <f>IFERROR('Cash Flow Data'!F15,0)</f>
        <v>-329</v>
      </c>
      <c r="G86" s="26">
        <f>IFERROR('Cash Flow Data'!G15,0)</f>
        <v>-130</v>
      </c>
      <c r="H86" s="26">
        <f>IFERROR('Cash Flow Data'!H15,0)</f>
        <v>-1439</v>
      </c>
      <c r="I86" s="26">
        <f>IFERROR('Cash Flow Data'!I15,0)</f>
        <v>-7530</v>
      </c>
      <c r="J86" s="26">
        <f>IFERROR('Cash Flow Data'!J15,0)</f>
        <v>-3008</v>
      </c>
      <c r="K86" s="26">
        <f>IFERROR('Cash Flow Data'!K15,0)</f>
        <v>-50</v>
      </c>
      <c r="L86" s="26">
        <f>IFERROR('Cash Flow Data'!L15,0)</f>
        <v>-74</v>
      </c>
    </row>
    <row r="87" spans="2:12" x14ac:dyDescent="0.3">
      <c r="B87" t="s">
        <v>99</v>
      </c>
      <c r="C87" s="26">
        <f>IFERROR('Cash Flow Data'!C16,0)</f>
        <v>42</v>
      </c>
      <c r="D87" s="26">
        <f>IFERROR('Cash Flow Data'!D16,0)</f>
        <v>89</v>
      </c>
      <c r="E87" s="26">
        <f>IFERROR('Cash Flow Data'!E16,0)</f>
        <v>1965</v>
      </c>
      <c r="F87" s="26">
        <f>IFERROR('Cash Flow Data'!F16,0)</f>
        <v>2381</v>
      </c>
      <c r="G87" s="26">
        <f>IFERROR('Cash Flow Data'!G16,0)</f>
        <v>5644</v>
      </c>
      <c r="H87" s="26">
        <f>IFERROR('Cash Flow Data'!H16,0)</f>
        <v>21</v>
      </c>
      <c r="I87" s="26">
        <f>IFERROR('Cash Flow Data'!I16,0)</f>
        <v>226</v>
      </c>
      <c r="J87" s="26">
        <f>IFERROR('Cash Flow Data'!J16,0)</f>
        <v>104</v>
      </c>
      <c r="K87" s="26">
        <f>IFERROR('Cash Flow Data'!K16,0)</f>
        <v>6895</v>
      </c>
      <c r="L87" s="26">
        <f>IFERROR('Cash Flow Data'!L16,0)</f>
        <v>10820</v>
      </c>
    </row>
    <row r="88" spans="2:12" x14ac:dyDescent="0.3">
      <c r="B88" t="s">
        <v>100</v>
      </c>
      <c r="C88" s="26">
        <f>IFERROR('Cash Flow Data'!C17,0)</f>
        <v>698</v>
      </c>
      <c r="D88" s="26">
        <f>IFERROR('Cash Flow Data'!D17,0)</f>
        <v>731</v>
      </c>
      <c r="E88" s="26">
        <f>IFERROR('Cash Flow Data'!E17,0)</f>
        <v>638</v>
      </c>
      <c r="F88" s="26">
        <f>IFERROR('Cash Flow Data'!F17,0)</f>
        <v>690</v>
      </c>
      <c r="G88" s="26">
        <f>IFERROR('Cash Flow Data'!G17,0)</f>
        <v>761</v>
      </c>
      <c r="H88" s="26">
        <f>IFERROR('Cash Flow Data'!H17,0)</f>
        <v>1104</v>
      </c>
      <c r="I88" s="26">
        <f>IFERROR('Cash Flow Data'!I17,0)</f>
        <v>428</v>
      </c>
      <c r="J88" s="26">
        <f>IFERROR('Cash Flow Data'!J17,0)</f>
        <v>653</v>
      </c>
      <c r="K88" s="26">
        <f>IFERROR('Cash Flow Data'!K17,0)</f>
        <v>973</v>
      </c>
      <c r="L88" s="26">
        <f>IFERROR('Cash Flow Data'!L17,0)</f>
        <v>2493</v>
      </c>
    </row>
    <row r="89" spans="2:12" x14ac:dyDescent="0.3">
      <c r="B89" t="s">
        <v>101</v>
      </c>
      <c r="C89" s="26">
        <f>IFERROR('Cash Flow Data'!C18,0)</f>
        <v>80</v>
      </c>
      <c r="D89" s="26">
        <f>IFERROR('Cash Flow Data'!D18,0)</f>
        <v>58</v>
      </c>
      <c r="E89" s="26">
        <f>IFERROR('Cash Flow Data'!E18,0)</f>
        <v>620</v>
      </c>
      <c r="F89" s="26">
        <f>IFERROR('Cash Flow Data'!F18,0)</f>
        <v>1797</v>
      </c>
      <c r="G89" s="26">
        <f>IFERROR('Cash Flow Data'!G18,0)</f>
        <v>232</v>
      </c>
      <c r="H89" s="26">
        <f>IFERROR('Cash Flow Data'!H18,0)</f>
        <v>21</v>
      </c>
      <c r="I89" s="26">
        <f>IFERROR('Cash Flow Data'!I18,0)</f>
        <v>18</v>
      </c>
      <c r="J89" s="26">
        <f>IFERROR('Cash Flow Data'!J18,0)</f>
        <v>32</v>
      </c>
      <c r="K89" s="26">
        <f>IFERROR('Cash Flow Data'!K18,0)</f>
        <v>46</v>
      </c>
      <c r="L89" s="26">
        <f>IFERROR('Cash Flow Data'!L18,0)</f>
        <v>47</v>
      </c>
    </row>
    <row r="90" spans="2:12" x14ac:dyDescent="0.3">
      <c r="B90" t="s">
        <v>102</v>
      </c>
      <c r="C90" s="26">
        <f>IFERROR('Cash Flow Data'!C19,0)</f>
        <v>-160</v>
      </c>
      <c r="D90" s="26">
        <f>IFERROR('Cash Flow Data'!D19,0)</f>
        <v>0</v>
      </c>
      <c r="E90" s="26">
        <f>IFERROR('Cash Flow Data'!E19,0)</f>
        <v>-107</v>
      </c>
      <c r="F90" s="26">
        <f>IFERROR('Cash Flow Data'!F19,0)</f>
        <v>-4</v>
      </c>
      <c r="G90" s="26">
        <f>IFERROR('Cash Flow Data'!G19,0)</f>
        <v>-9</v>
      </c>
      <c r="H90" s="26">
        <f>IFERROR('Cash Flow Data'!H19,0)</f>
        <v>-606</v>
      </c>
      <c r="I90" s="26">
        <f>IFERROR('Cash Flow Data'!I19,0)</f>
        <v>-10</v>
      </c>
      <c r="J90" s="26">
        <f>IFERROR('Cash Flow Data'!J19,0)</f>
        <v>0</v>
      </c>
      <c r="K90" s="26">
        <f>IFERROR('Cash Flow Data'!K19,0)</f>
        <v>0</v>
      </c>
      <c r="L90" s="26">
        <f>IFERROR('Cash Flow Data'!L19,0)</f>
        <v>-150</v>
      </c>
    </row>
    <row r="91" spans="2:12" x14ac:dyDescent="0.3">
      <c r="B91" t="s">
        <v>103</v>
      </c>
      <c r="C91" s="26">
        <f>IFERROR('Cash Flow Data'!C20,0)</f>
        <v>0</v>
      </c>
      <c r="D91" s="26">
        <f>IFERROR('Cash Flow Data'!D20,0)</f>
        <v>0</v>
      </c>
      <c r="E91" s="26">
        <f>IFERROR('Cash Flow Data'!E20,0)</f>
        <v>0</v>
      </c>
      <c r="F91" s="26">
        <f>IFERROR('Cash Flow Data'!F20,0)</f>
        <v>14</v>
      </c>
      <c r="G91" s="26">
        <f>IFERROR('Cash Flow Data'!G20,0)</f>
        <v>533</v>
      </c>
      <c r="H91" s="26">
        <f>IFERROR('Cash Flow Data'!H20,0)</f>
        <v>0</v>
      </c>
      <c r="I91" s="26">
        <f>IFERROR('Cash Flow Data'!I20,0)</f>
        <v>0</v>
      </c>
      <c r="J91" s="26">
        <f>IFERROR('Cash Flow Data'!J20,0)</f>
        <v>0</v>
      </c>
      <c r="K91" s="26">
        <f>IFERROR('Cash Flow Data'!K20,0)</f>
        <v>19</v>
      </c>
      <c r="L91" s="26">
        <f>IFERROR('Cash Flow Data'!L20,0)</f>
        <v>108</v>
      </c>
    </row>
    <row r="92" spans="2:12" x14ac:dyDescent="0.3">
      <c r="B92" t="s">
        <v>104</v>
      </c>
      <c r="C92" s="26">
        <f>IFERROR('Cash Flow Data'!C21,0)</f>
        <v>0</v>
      </c>
      <c r="D92" s="26">
        <f>IFERROR('Cash Flow Data'!D21,0)</f>
        <v>-111</v>
      </c>
      <c r="E92" s="26">
        <f>IFERROR('Cash Flow Data'!E21,0)</f>
        <v>0</v>
      </c>
      <c r="F92" s="26">
        <f>IFERROR('Cash Flow Data'!F21,0)</f>
        <v>0</v>
      </c>
      <c r="G92" s="26">
        <f>IFERROR('Cash Flow Data'!G21,0)</f>
        <v>-8</v>
      </c>
      <c r="H92" s="26">
        <f>IFERROR('Cash Flow Data'!H21,0)</f>
        <v>-27</v>
      </c>
      <c r="I92" s="26">
        <f>IFERROR('Cash Flow Data'!I21,0)</f>
        <v>0</v>
      </c>
      <c r="J92" s="26">
        <f>IFERROR('Cash Flow Data'!J21,0)</f>
        <v>-98</v>
      </c>
      <c r="K92" s="26">
        <f>IFERROR('Cash Flow Data'!K21,0)</f>
        <v>0</v>
      </c>
      <c r="L92" s="26">
        <f>IFERROR('Cash Flow Data'!L21,0)</f>
        <v>0</v>
      </c>
    </row>
    <row r="93" spans="2:12" x14ac:dyDescent="0.3">
      <c r="B93" t="s">
        <v>105</v>
      </c>
      <c r="C93" s="26">
        <f>IFERROR('Cash Flow Data'!C22,0)</f>
        <v>0</v>
      </c>
      <c r="D93" s="26">
        <f>IFERROR('Cash Flow Data'!D22,0)</f>
        <v>0</v>
      </c>
      <c r="E93" s="26">
        <f>IFERROR('Cash Flow Data'!E22,0)</f>
        <v>0</v>
      </c>
      <c r="F93" s="26">
        <f>IFERROR('Cash Flow Data'!F22,0)</f>
        <v>0</v>
      </c>
      <c r="G93" s="26">
        <f>IFERROR('Cash Flow Data'!G22,0)</f>
        <v>0</v>
      </c>
      <c r="H93" s="26">
        <f>IFERROR('Cash Flow Data'!H22,0)</f>
        <v>0</v>
      </c>
      <c r="I93" s="26">
        <f>IFERROR('Cash Flow Data'!I22,0)</f>
        <v>0</v>
      </c>
      <c r="J93" s="26">
        <f>IFERROR('Cash Flow Data'!J22,0)</f>
        <v>0</v>
      </c>
      <c r="K93" s="26">
        <f>IFERROR('Cash Flow Data'!K22,0)</f>
        <v>0</v>
      </c>
      <c r="L93" s="26">
        <f>IFERROR('Cash Flow Data'!L22,0)</f>
        <v>-24</v>
      </c>
    </row>
    <row r="94" spans="2:12" x14ac:dyDescent="0.3">
      <c r="B94" t="s">
        <v>106</v>
      </c>
      <c r="C94" s="26">
        <f>IFERROR('Cash Flow Data'!C23,0)</f>
        <v>456</v>
      </c>
      <c r="D94" s="26">
        <f>IFERROR('Cash Flow Data'!D23,0)</f>
        <v>-1289</v>
      </c>
      <c r="E94" s="26">
        <f>IFERROR('Cash Flow Data'!E23,0)</f>
        <v>-26663</v>
      </c>
      <c r="F94" s="26">
        <f>IFERROR('Cash Flow Data'!F23,0)</f>
        <v>5360</v>
      </c>
      <c r="G94" s="26">
        <f>IFERROR('Cash Flow Data'!G23,0)</f>
        <v>7335</v>
      </c>
      <c r="H94" s="26">
        <f>IFERROR('Cash Flow Data'!H23,0)</f>
        <v>-2659</v>
      </c>
      <c r="I94" s="26">
        <f>IFERROR('Cash Flow Data'!I23,0)</f>
        <v>1051</v>
      </c>
      <c r="J94" s="26">
        <f>IFERROR('Cash Flow Data'!J23,0)</f>
        <v>12813</v>
      </c>
      <c r="K94" s="26">
        <f>IFERROR('Cash Flow Data'!K23,0)</f>
        <v>-4357</v>
      </c>
      <c r="L94" s="26">
        <f>IFERROR('Cash Flow Data'!L23,0)</f>
        <v>-4817</v>
      </c>
    </row>
    <row r="95" spans="2:12" x14ac:dyDescent="0.3">
      <c r="B95" s="30" t="s">
        <v>120</v>
      </c>
      <c r="C95" s="33">
        <f>IFERROR(SUM(C84:C94),0)</f>
        <v>-36233</v>
      </c>
      <c r="D95" s="33">
        <f t="shared" ref="D95:L95" si="24">IFERROR(SUM(D84:D94),0)</f>
        <v>-36694</v>
      </c>
      <c r="E95" s="33">
        <f t="shared" si="24"/>
        <v>-39572</v>
      </c>
      <c r="F95" s="33">
        <f t="shared" si="24"/>
        <v>-25140</v>
      </c>
      <c r="G95" s="33">
        <f t="shared" si="24"/>
        <v>-20879</v>
      </c>
      <c r="H95" s="33">
        <f t="shared" si="24"/>
        <v>-33116</v>
      </c>
      <c r="I95" s="33">
        <f t="shared" si="24"/>
        <v>-25671</v>
      </c>
      <c r="J95" s="33">
        <f t="shared" si="24"/>
        <v>-4442</v>
      </c>
      <c r="K95" s="33">
        <f t="shared" si="24"/>
        <v>-15419</v>
      </c>
      <c r="L95" s="33">
        <f t="shared" si="24"/>
        <v>-22780</v>
      </c>
    </row>
    <row r="97" spans="2:12" x14ac:dyDescent="0.3">
      <c r="B97" s="25" t="s">
        <v>121</v>
      </c>
    </row>
    <row r="98" spans="2:12" x14ac:dyDescent="0.3">
      <c r="B98" t="s">
        <v>108</v>
      </c>
      <c r="C98" s="26">
        <f>IFERROR('Cash Flow Data'!C25,0)</f>
        <v>0</v>
      </c>
      <c r="D98" s="26">
        <f>IFERROR('Cash Flow Data'!D25,0)</f>
        <v>7433</v>
      </c>
      <c r="E98" s="26">
        <f>IFERROR('Cash Flow Data'!E25,0)</f>
        <v>5</v>
      </c>
      <c r="F98" s="26">
        <f>IFERROR('Cash Flow Data'!F25,0)</f>
        <v>0</v>
      </c>
      <c r="G98" s="26">
        <f>IFERROR('Cash Flow Data'!G25,0)</f>
        <v>0</v>
      </c>
      <c r="H98" s="26">
        <f>IFERROR('Cash Flow Data'!H25,0)</f>
        <v>3889</v>
      </c>
      <c r="I98" s="26">
        <f>IFERROR('Cash Flow Data'!I25,0)</f>
        <v>2603</v>
      </c>
      <c r="J98" s="26">
        <f>IFERROR('Cash Flow Data'!J25,0)</f>
        <v>19</v>
      </c>
      <c r="K98" s="26">
        <f>IFERROR('Cash Flow Data'!K25,0)</f>
        <v>20</v>
      </c>
      <c r="L98" s="26">
        <f>IFERROR('Cash Flow Data'!L25,0)</f>
        <v>82</v>
      </c>
    </row>
    <row r="99" spans="2:12" x14ac:dyDescent="0.3">
      <c r="B99" t="s">
        <v>109</v>
      </c>
      <c r="C99" s="26">
        <f>IFERROR('Cash Flow Data'!C26,0)</f>
        <v>-744</v>
      </c>
      <c r="D99" s="26">
        <f>IFERROR('Cash Flow Data'!D26,0)</f>
        <v>0</v>
      </c>
      <c r="E99" s="26">
        <f>IFERROR('Cash Flow Data'!E26,0)</f>
        <v>0</v>
      </c>
      <c r="F99" s="26">
        <f>IFERROR('Cash Flow Data'!F26,0)</f>
        <v>0</v>
      </c>
      <c r="G99" s="26">
        <f>IFERROR('Cash Flow Data'!G26,0)</f>
        <v>0</v>
      </c>
      <c r="H99" s="26">
        <f>IFERROR('Cash Flow Data'!H26,0)</f>
        <v>0</v>
      </c>
      <c r="I99" s="26">
        <f>IFERROR('Cash Flow Data'!I26,0)</f>
        <v>0</v>
      </c>
      <c r="J99" s="26">
        <f>IFERROR('Cash Flow Data'!J26,0)</f>
        <v>0</v>
      </c>
      <c r="K99" s="26">
        <f>IFERROR('Cash Flow Data'!K26,0)</f>
        <v>0</v>
      </c>
      <c r="L99" s="26">
        <f>IFERROR('Cash Flow Data'!L26,0)</f>
        <v>0</v>
      </c>
    </row>
    <row r="100" spans="2:12" x14ac:dyDescent="0.3">
      <c r="B100" t="s">
        <v>110</v>
      </c>
      <c r="C100" s="26">
        <f>IFERROR('Cash Flow Data'!C27,0)</f>
        <v>36363</v>
      </c>
      <c r="D100" s="26">
        <f>IFERROR('Cash Flow Data'!D27,0)</f>
        <v>19519</v>
      </c>
      <c r="E100" s="26">
        <f>IFERROR('Cash Flow Data'!E27,0)</f>
        <v>33390</v>
      </c>
      <c r="F100" s="26">
        <f>IFERROR('Cash Flow Data'!F27,0)</f>
        <v>37482</v>
      </c>
      <c r="G100" s="26">
        <f>IFERROR('Cash Flow Data'!G27,0)</f>
        <v>51128</v>
      </c>
      <c r="H100" s="26">
        <f>IFERROR('Cash Flow Data'!H27,0)</f>
        <v>38297</v>
      </c>
      <c r="I100" s="26">
        <f>IFERROR('Cash Flow Data'!I27,0)</f>
        <v>46641</v>
      </c>
      <c r="J100" s="26">
        <f>IFERROR('Cash Flow Data'!J27,0)</f>
        <v>46578</v>
      </c>
      <c r="K100" s="26">
        <f>IFERROR('Cash Flow Data'!K27,0)</f>
        <v>43934</v>
      </c>
      <c r="L100" s="26">
        <f>IFERROR('Cash Flow Data'!L27,0)</f>
        <v>18747</v>
      </c>
    </row>
    <row r="101" spans="2:12" x14ac:dyDescent="0.3">
      <c r="B101" t="s">
        <v>111</v>
      </c>
      <c r="C101" s="26">
        <f>IFERROR('Cash Flow Data'!C28,0)</f>
        <v>-23332</v>
      </c>
      <c r="D101" s="26">
        <f>IFERROR('Cash Flow Data'!D28,0)</f>
        <v>-24924</v>
      </c>
      <c r="E101" s="26">
        <f>IFERROR('Cash Flow Data'!E28,0)</f>
        <v>-21732</v>
      </c>
      <c r="F101" s="26">
        <f>IFERROR('Cash Flow Data'!F28,0)</f>
        <v>-29964</v>
      </c>
      <c r="G101" s="26">
        <f>IFERROR('Cash Flow Data'!G28,0)</f>
        <v>-35198</v>
      </c>
      <c r="H101" s="26">
        <f>IFERROR('Cash Flow Data'!H28,0)</f>
        <v>-29847</v>
      </c>
      <c r="I101" s="26">
        <f>IFERROR('Cash Flow Data'!I28,0)</f>
        <v>-29709</v>
      </c>
      <c r="J101" s="26">
        <f>IFERROR('Cash Flow Data'!J28,0)</f>
        <v>-42816</v>
      </c>
      <c r="K101" s="26">
        <f>IFERROR('Cash Flow Data'!K28,0)</f>
        <v>-62557</v>
      </c>
      <c r="L101" s="26">
        <f>IFERROR('Cash Flow Data'!L28,0)</f>
        <v>-47332</v>
      </c>
    </row>
    <row r="102" spans="2:12" x14ac:dyDescent="0.3">
      <c r="B102" t="s">
        <v>112</v>
      </c>
      <c r="C102" s="26">
        <f>IFERROR('Cash Flow Data'!C29,0)</f>
        <v>-6307</v>
      </c>
      <c r="D102" s="26">
        <f>IFERROR('Cash Flow Data'!D29,0)</f>
        <v>-5716</v>
      </c>
      <c r="E102" s="26">
        <f>IFERROR('Cash Flow Data'!E29,0)</f>
        <v>-5336</v>
      </c>
      <c r="F102" s="26">
        <f>IFERROR('Cash Flow Data'!F29,0)</f>
        <v>-5411</v>
      </c>
      <c r="G102" s="26">
        <f>IFERROR('Cash Flow Data'!G29,0)</f>
        <v>-7005</v>
      </c>
      <c r="H102" s="26">
        <f>IFERROR('Cash Flow Data'!H29,0)</f>
        <v>-7518</v>
      </c>
      <c r="I102" s="26">
        <f>IFERROR('Cash Flow Data'!I29,0)</f>
        <v>-8123</v>
      </c>
      <c r="J102" s="26">
        <f>IFERROR('Cash Flow Data'!J29,0)</f>
        <v>-9251</v>
      </c>
      <c r="K102" s="26">
        <f>IFERROR('Cash Flow Data'!K29,0)</f>
        <v>-9336</v>
      </c>
      <c r="L102" s="26">
        <f>IFERROR('Cash Flow Data'!L29,0)</f>
        <v>-9332</v>
      </c>
    </row>
    <row r="103" spans="2:12" x14ac:dyDescent="0.3">
      <c r="B103" t="s">
        <v>113</v>
      </c>
      <c r="C103" s="26">
        <f>IFERROR('Cash Flow Data'!C30,0)</f>
        <v>-720</v>
      </c>
      <c r="D103" s="26">
        <f>IFERROR('Cash Flow Data'!D30,0)</f>
        <v>-108</v>
      </c>
      <c r="E103" s="26">
        <f>IFERROR('Cash Flow Data'!E30,0)</f>
        <v>-121</v>
      </c>
      <c r="F103" s="26">
        <f>IFERROR('Cash Flow Data'!F30,0)</f>
        <v>-96</v>
      </c>
      <c r="G103" s="26">
        <f>IFERROR('Cash Flow Data'!G30,0)</f>
        <v>-95</v>
      </c>
      <c r="H103" s="26">
        <f>IFERROR('Cash Flow Data'!H30,0)</f>
        <v>-57</v>
      </c>
      <c r="I103" s="26">
        <f>IFERROR('Cash Flow Data'!I30,0)</f>
        <v>-30</v>
      </c>
      <c r="J103" s="26">
        <f>IFERROR('Cash Flow Data'!J30,0)</f>
        <v>-100</v>
      </c>
      <c r="K103" s="26">
        <f>IFERROR('Cash Flow Data'!K30,0)</f>
        <v>-141</v>
      </c>
      <c r="L103" s="26">
        <f>IFERROR('Cash Flow Data'!L30,0)</f>
        <v>-1059</v>
      </c>
    </row>
    <row r="104" spans="2:12" x14ac:dyDescent="0.3">
      <c r="B104" t="s">
        <v>114</v>
      </c>
      <c r="C104" s="26">
        <f>IFERROR('Cash Flow Data'!C31,0)</f>
        <v>0</v>
      </c>
      <c r="D104" s="26">
        <f>IFERROR('Cash Flow Data'!D31,0)</f>
        <v>0</v>
      </c>
      <c r="E104" s="26">
        <f>IFERROR('Cash Flow Data'!E31,0)</f>
        <v>0</v>
      </c>
      <c r="F104" s="26">
        <f>IFERROR('Cash Flow Data'!F31,0)</f>
        <v>0</v>
      </c>
      <c r="G104" s="26">
        <f>IFERROR('Cash Flow Data'!G31,0)</f>
        <v>0</v>
      </c>
      <c r="H104" s="26">
        <f>IFERROR('Cash Flow Data'!H31,0)</f>
        <v>-1346</v>
      </c>
      <c r="I104" s="26">
        <f>IFERROR('Cash Flow Data'!I31,0)</f>
        <v>-1477</v>
      </c>
      <c r="J104" s="26">
        <f>IFERROR('Cash Flow Data'!J31,0)</f>
        <v>-1559</v>
      </c>
      <c r="K104" s="26">
        <f>IFERROR('Cash Flow Data'!K31,0)</f>
        <v>-1517</v>
      </c>
      <c r="L104" s="26">
        <f>IFERROR('Cash Flow Data'!L31,0)</f>
        <v>-1924</v>
      </c>
    </row>
    <row r="105" spans="2:12" x14ac:dyDescent="0.3">
      <c r="B105" t="s">
        <v>115</v>
      </c>
      <c r="C105" s="26">
        <f>IFERROR('Cash Flow Data'!C32,0)</f>
        <v>-57</v>
      </c>
      <c r="D105" s="26">
        <f>IFERROR('Cash Flow Data'!D32,0)</f>
        <v>0</v>
      </c>
      <c r="E105" s="26">
        <f>IFERROR('Cash Flow Data'!E32,0)</f>
        <v>0</v>
      </c>
      <c r="F105" s="26">
        <f>IFERROR('Cash Flow Data'!F32,0)</f>
        <v>0</v>
      </c>
      <c r="G105" s="26">
        <f>IFERROR('Cash Flow Data'!G32,0)</f>
        <v>0</v>
      </c>
      <c r="H105" s="26">
        <f>IFERROR('Cash Flow Data'!H32,0)</f>
        <v>-29</v>
      </c>
      <c r="I105" s="26">
        <f>IFERROR('Cash Flow Data'!I32,0)</f>
        <v>0</v>
      </c>
      <c r="J105" s="26">
        <f>IFERROR('Cash Flow Data'!J32,0)</f>
        <v>3750</v>
      </c>
      <c r="K105" s="26">
        <f>IFERROR('Cash Flow Data'!K32,0)</f>
        <v>3355</v>
      </c>
      <c r="L105" s="26">
        <f>IFERROR('Cash Flow Data'!L32,0)</f>
        <v>3812</v>
      </c>
    </row>
    <row r="106" spans="2:12" x14ac:dyDescent="0.3">
      <c r="B106" s="30" t="s">
        <v>122</v>
      </c>
      <c r="C106" s="33">
        <f>IFERROR(SUM(C98:C105),0)</f>
        <v>5203</v>
      </c>
      <c r="D106" s="33">
        <f t="shared" ref="D106:L106" si="25">IFERROR(SUM(D98:D105),0)</f>
        <v>-3796</v>
      </c>
      <c r="E106" s="33">
        <f t="shared" si="25"/>
        <v>6206</v>
      </c>
      <c r="F106" s="33">
        <f t="shared" si="25"/>
        <v>2011</v>
      </c>
      <c r="G106" s="33">
        <f t="shared" si="25"/>
        <v>8830</v>
      </c>
      <c r="H106" s="33">
        <f t="shared" si="25"/>
        <v>3389</v>
      </c>
      <c r="I106" s="33">
        <f t="shared" si="25"/>
        <v>9905</v>
      </c>
      <c r="J106" s="33">
        <f t="shared" si="25"/>
        <v>-3379</v>
      </c>
      <c r="K106" s="33">
        <f t="shared" si="25"/>
        <v>-26242</v>
      </c>
      <c r="L106" s="33">
        <f t="shared" si="25"/>
        <v>-37006</v>
      </c>
    </row>
    <row r="108" spans="2:12" x14ac:dyDescent="0.3">
      <c r="B108" s="30" t="s">
        <v>50</v>
      </c>
      <c r="C108" s="33">
        <f>IFERROR(C81+C95+C106,0)</f>
        <v>830</v>
      </c>
      <c r="D108" s="33">
        <f t="shared" ref="D108:L108" si="26">IFERROR(D81+D95+D106,0)</f>
        <v>-1278</v>
      </c>
      <c r="E108" s="33">
        <f t="shared" si="26"/>
        <v>88</v>
      </c>
      <c r="F108" s="33">
        <f t="shared" si="26"/>
        <v>-5706</v>
      </c>
      <c r="G108" s="33">
        <f t="shared" si="26"/>
        <v>-378</v>
      </c>
      <c r="H108" s="33">
        <f t="shared" si="26"/>
        <v>1971</v>
      </c>
      <c r="I108" s="33">
        <f t="shared" si="26"/>
        <v>13141</v>
      </c>
      <c r="J108" s="33">
        <f t="shared" si="26"/>
        <v>-4289</v>
      </c>
      <c r="K108" s="33">
        <f t="shared" si="26"/>
        <v>-9400</v>
      </c>
      <c r="L108" s="33">
        <f t="shared" si="26"/>
        <v>15455</v>
      </c>
    </row>
  </sheetData>
  <mergeCells count="1">
    <mergeCell ref="B2:N2"/>
  </mergeCells>
  <pageMargins left="0.7" right="0.7" top="0.75" bottom="0.75" header="0.3" footer="0.3"/>
  <pageSetup orientation="portrait" r:id="rId1"/>
  <ignoredErrors>
    <ignoredError sqref="M6 M9 C15:M15 M21 M24 M3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ACA7-BF8B-40E7-82DD-5E11E3D2B959}">
  <dimension ref="A2:L39"/>
  <sheetViews>
    <sheetView showGridLines="0" workbookViewId="0">
      <selection activeCell="H16" sqref="H16"/>
    </sheetView>
  </sheetViews>
  <sheetFormatPr defaultRowHeight="14.4" x14ac:dyDescent="0.3"/>
  <cols>
    <col min="1" max="1" width="1.88671875" customWidth="1"/>
    <col min="2" max="2" width="28.109375" customWidth="1"/>
  </cols>
  <sheetData>
    <row r="2" spans="1:12" x14ac:dyDescent="0.3">
      <c r="B2" s="170" t="str">
        <f>"Common Size Financial Statement Analysis"&amp;" - "&amp;'Data Sheet'!B1</f>
        <v>Common Size Financial Statement Analysis - TATA MOTORS LTD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4" spans="1:12" x14ac:dyDescent="0.3">
      <c r="A4" t="s">
        <v>57</v>
      </c>
      <c r="B4" s="20" t="s">
        <v>159</v>
      </c>
      <c r="C4" s="21"/>
      <c r="D4" s="21"/>
      <c r="E4" s="21"/>
      <c r="F4" s="21"/>
      <c r="G4" s="21"/>
      <c r="H4" s="21"/>
      <c r="I4" s="21"/>
      <c r="J4" s="21"/>
      <c r="K4" s="21"/>
      <c r="L4" s="21"/>
    </row>
    <row r="6" spans="1:12" x14ac:dyDescent="0.3">
      <c r="B6" s="161" t="s">
        <v>160</v>
      </c>
      <c r="C6" s="162">
        <f>'Data Sheet'!B55</f>
        <v>42094</v>
      </c>
      <c r="D6" s="162">
        <f>'Data Sheet'!C55</f>
        <v>42460</v>
      </c>
      <c r="E6" s="162">
        <f>'Data Sheet'!D55</f>
        <v>42825</v>
      </c>
      <c r="F6" s="162">
        <f>'Data Sheet'!E55</f>
        <v>43190</v>
      </c>
      <c r="G6" s="162">
        <f>'Data Sheet'!F55</f>
        <v>43555</v>
      </c>
      <c r="H6" s="162">
        <f>'Data Sheet'!G55</f>
        <v>43921</v>
      </c>
      <c r="I6" s="162">
        <f>'Data Sheet'!H55</f>
        <v>44286</v>
      </c>
      <c r="J6" s="162">
        <f>'Data Sheet'!I55</f>
        <v>44651</v>
      </c>
      <c r="K6" s="162">
        <f>'Data Sheet'!J55</f>
        <v>45016</v>
      </c>
      <c r="L6" s="162">
        <f>'Data Sheet'!K55</f>
        <v>45382</v>
      </c>
    </row>
    <row r="7" spans="1:12" x14ac:dyDescent="0.3">
      <c r="B7" s="25"/>
      <c r="C7" s="66"/>
      <c r="D7" s="66"/>
      <c r="E7" s="66"/>
      <c r="F7" s="66"/>
      <c r="G7" s="66"/>
      <c r="H7" s="66"/>
      <c r="I7" s="66"/>
      <c r="J7" s="66"/>
      <c r="K7" s="66"/>
      <c r="L7" s="66"/>
    </row>
    <row r="8" spans="1:12" x14ac:dyDescent="0.3">
      <c r="B8" s="150" t="s">
        <v>31</v>
      </c>
      <c r="C8" s="156">
        <f>'Data Sheet'!B56/'Data Sheet'!B$60</f>
        <v>2.7127681338360746E-3</v>
      </c>
      <c r="D8" s="156">
        <f>'Data Sheet'!C56/'Data Sheet'!C$60</f>
        <v>2.5806268250531225E-3</v>
      </c>
      <c r="E8" s="156">
        <f>'Data Sheet'!D56/'Data Sheet'!D$60</f>
        <v>2.491815624573979E-3</v>
      </c>
      <c r="F8" s="156">
        <f>'Data Sheet'!E56/'Data Sheet'!E$60</f>
        <v>2.0759077068585549E-3</v>
      </c>
      <c r="G8" s="156">
        <f>'Data Sheet'!F56/'Data Sheet'!F$60</f>
        <v>2.2218261230841693E-3</v>
      </c>
      <c r="H8" s="156">
        <f>'Data Sheet'!G56/'Data Sheet'!G$60</f>
        <v>2.2473026761653833E-3</v>
      </c>
      <c r="I8" s="156">
        <f>'Data Sheet'!H56/'Data Sheet'!H$60</f>
        <v>2.2420300429859294E-3</v>
      </c>
      <c r="J8" s="156">
        <f>'Data Sheet'!I56/'Data Sheet'!I$60</f>
        <v>2.3274677325505334E-3</v>
      </c>
      <c r="K8" s="156">
        <f>'Data Sheet'!J56/'Data Sheet'!J$60</f>
        <v>2.2888512875034999E-3</v>
      </c>
      <c r="L8" s="156">
        <f>'Data Sheet'!K56/'Data Sheet'!K$60</f>
        <v>2.0743091975302811E-3</v>
      </c>
    </row>
    <row r="9" spans="1:12" x14ac:dyDescent="0.3">
      <c r="B9" s="150" t="s">
        <v>32</v>
      </c>
      <c r="C9" s="156">
        <f>'Data Sheet'!B57/'Data Sheet'!B$60</f>
        <v>0.23436440687072221</v>
      </c>
      <c r="D9" s="156">
        <f>'Data Sheet'!C57/'Data Sheet'!C$60</f>
        <v>0.2974086354450261</v>
      </c>
      <c r="E9" s="156">
        <f>'Data Sheet'!D57/'Data Sheet'!D$60</f>
        <v>0.21051652437468349</v>
      </c>
      <c r="F9" s="156">
        <f>'Data Sheet'!E57/'Data Sheet'!E$60</f>
        <v>0.28958148432871839</v>
      </c>
      <c r="G9" s="156">
        <f>'Data Sheet'!F57/'Data Sheet'!F$60</f>
        <v>0.19463415350606564</v>
      </c>
      <c r="H9" s="156">
        <f>'Data Sheet'!G57/'Data Sheet'!G$60</f>
        <v>0.19476266101949907</v>
      </c>
      <c r="I9" s="156">
        <f>'Data Sheet'!H57/'Data Sheet'!H$60</f>
        <v>0.15950149121742019</v>
      </c>
      <c r="J9" s="156">
        <f>'Data Sheet'!I57/'Data Sheet'!I$60</f>
        <v>0.13309172094249011</v>
      </c>
      <c r="K9" s="156">
        <f>'Data Sheet'!J57/'Data Sheet'!J$60</f>
        <v>0.13313168263258116</v>
      </c>
      <c r="L9" s="156">
        <f>'Data Sheet'!K57/'Data Sheet'!K$60</f>
        <v>0.22773160068121778</v>
      </c>
    </row>
    <row r="10" spans="1:12" x14ac:dyDescent="0.3">
      <c r="B10" s="150" t="s">
        <v>33</v>
      </c>
      <c r="C10" s="156">
        <f>'Data Sheet'!B58/'Data Sheet'!B$60</f>
        <v>0.31018037266029647</v>
      </c>
      <c r="D10" s="156">
        <f>'Data Sheet'!C58/'Data Sheet'!C$60</f>
        <v>0.2635415844998551</v>
      </c>
      <c r="E10" s="156">
        <f>'Data Sheet'!D58/'Data Sheet'!D$60</f>
        <v>0.2883699324485447</v>
      </c>
      <c r="F10" s="156">
        <f>'Data Sheet'!E58/'Data Sheet'!E$60</f>
        <v>0.27186031948660327</v>
      </c>
      <c r="G10" s="156">
        <f>'Data Sheet'!F58/'Data Sheet'!F$60</f>
        <v>0.34731477877468786</v>
      </c>
      <c r="H10" s="156">
        <f>'Data Sheet'!G58/'Data Sheet'!G$60</f>
        <v>0.38974288757311953</v>
      </c>
      <c r="I10" s="156">
        <f>'Data Sheet'!H58/'Data Sheet'!H$60</f>
        <v>0.41610975041683274</v>
      </c>
      <c r="J10" s="156">
        <f>'Data Sheet'!I58/'Data Sheet'!I$60</f>
        <v>0.445050649956031</v>
      </c>
      <c r="K10" s="156">
        <f>'Data Sheet'!J58/'Data Sheet'!J$60</f>
        <v>0.40072807474416255</v>
      </c>
      <c r="L10" s="156">
        <f>'Data Sheet'!K58/'Data Sheet'!K$60</f>
        <v>0.29027474272679948</v>
      </c>
    </row>
    <row r="11" spans="1:12" x14ac:dyDescent="0.3">
      <c r="B11" s="150" t="s">
        <v>34</v>
      </c>
      <c r="C11" s="156">
        <f>'Data Sheet'!B59/'Data Sheet'!B$60</f>
        <v>0.45274245233514521</v>
      </c>
      <c r="D11" s="156">
        <f>'Data Sheet'!C59/'Data Sheet'!C$60</f>
        <v>0.43646915323006569</v>
      </c>
      <c r="E11" s="156">
        <f>'Data Sheet'!D59/'Data Sheet'!D$60</f>
        <v>0.4986217275521978</v>
      </c>
      <c r="F11" s="156">
        <f>'Data Sheet'!E59/'Data Sheet'!E$60</f>
        <v>0.43648228847781978</v>
      </c>
      <c r="G11" s="156">
        <f>'Data Sheet'!F59/'Data Sheet'!F$60</f>
        <v>0.45582924159616234</v>
      </c>
      <c r="H11" s="156">
        <f>'Data Sheet'!G59/'Data Sheet'!G$60</f>
        <v>0.41324714873121593</v>
      </c>
      <c r="I11" s="156">
        <f>'Data Sheet'!H59/'Data Sheet'!H$60</f>
        <v>0.42214672832276123</v>
      </c>
      <c r="J11" s="156">
        <f>'Data Sheet'!I59/'Data Sheet'!I$60</f>
        <v>0.41953016136892834</v>
      </c>
      <c r="K11" s="156">
        <f>'Data Sheet'!J59/'Data Sheet'!J$60</f>
        <v>0.46385139133575282</v>
      </c>
      <c r="L11" s="156">
        <f>'Data Sheet'!K59/'Data Sheet'!K$60</f>
        <v>0.47991934739445252</v>
      </c>
    </row>
    <row r="12" spans="1:12" ht="15" thickBot="1" x14ac:dyDescent="0.35">
      <c r="B12" s="151" t="s">
        <v>82</v>
      </c>
      <c r="C12" s="147">
        <f>SUM(C8:C11)</f>
        <v>1</v>
      </c>
      <c r="D12" s="147">
        <f t="shared" ref="D12:L12" si="0">SUM(D8:D11)</f>
        <v>1</v>
      </c>
      <c r="E12" s="147">
        <f t="shared" si="0"/>
        <v>1</v>
      </c>
      <c r="F12" s="147">
        <f t="shared" si="0"/>
        <v>1</v>
      </c>
      <c r="G12" s="147">
        <f t="shared" si="0"/>
        <v>1</v>
      </c>
      <c r="H12" s="147">
        <f t="shared" si="0"/>
        <v>0.99999999999999989</v>
      </c>
      <c r="I12" s="147">
        <f t="shared" si="0"/>
        <v>1</v>
      </c>
      <c r="J12" s="147">
        <f t="shared" si="0"/>
        <v>1</v>
      </c>
      <c r="K12" s="147">
        <f t="shared" si="0"/>
        <v>1</v>
      </c>
      <c r="L12" s="147">
        <f t="shared" si="0"/>
        <v>1</v>
      </c>
    </row>
    <row r="14" spans="1:12" x14ac:dyDescent="0.3">
      <c r="B14" s="150" t="s">
        <v>36</v>
      </c>
      <c r="C14" s="156">
        <f>'Data Sheet'!B61/'Data Sheet'!B$65</f>
        <v>0.37283597031605153</v>
      </c>
      <c r="D14" s="156">
        <f>'Data Sheet'!C61/'Data Sheet'!C$65</f>
        <v>0.40744008415097382</v>
      </c>
      <c r="E14" s="156">
        <f>'Data Sheet'!D61/'Data Sheet'!D$65</f>
        <v>0.35198456704657666</v>
      </c>
      <c r="F14" s="156">
        <f>'Data Sheet'!E61/'Data Sheet'!E$65</f>
        <v>0.37107854258332446</v>
      </c>
      <c r="G14" s="156">
        <f>'Data Sheet'!F61/'Data Sheet'!F$65</f>
        <v>0.36386391925064382</v>
      </c>
      <c r="H14" s="156">
        <f>'Data Sheet'!G61/'Data Sheet'!G$65</f>
        <v>0.39698726392101624</v>
      </c>
      <c r="I14" s="156">
        <f>'Data Sheet'!H61/'Data Sheet'!H$65</f>
        <v>0.40608849298230043</v>
      </c>
      <c r="J14" s="156">
        <f>'Data Sheet'!I61/'Data Sheet'!I$65</f>
        <v>0.42197417266906562</v>
      </c>
      <c r="K14" s="156">
        <f>'Data Sheet'!J61/'Data Sheet'!J$65</f>
        <v>0.39465148263642374</v>
      </c>
      <c r="L14" s="156">
        <f>'Data Sheet'!K61/'Data Sheet'!K$65</f>
        <v>0.32822380326769868</v>
      </c>
    </row>
    <row r="15" spans="1:12" x14ac:dyDescent="0.3">
      <c r="B15" s="150" t="s">
        <v>37</v>
      </c>
      <c r="C15" s="156">
        <f>'Data Sheet'!B62/'Data Sheet'!B$65</f>
        <v>0.12068396579918175</v>
      </c>
      <c r="D15" s="156">
        <f>'Data Sheet'!C62/'Data Sheet'!C$65</f>
        <v>9.8482157662096018E-2</v>
      </c>
      <c r="E15" s="156">
        <f>'Data Sheet'!D62/'Data Sheet'!D$65</f>
        <v>0.12362900980833688</v>
      </c>
      <c r="F15" s="156">
        <f>'Data Sheet'!E62/'Data Sheet'!E$65</f>
        <v>0.12235483522646853</v>
      </c>
      <c r="G15" s="156">
        <f>'Data Sheet'!F62/'Data Sheet'!F$65</f>
        <v>0.1042966176146697</v>
      </c>
      <c r="H15" s="156">
        <f>'Data Sheet'!G62/'Data Sheet'!G$65</f>
        <v>0.11125728611076434</v>
      </c>
      <c r="I15" s="156">
        <f>'Data Sheet'!H62/'Data Sheet'!H$65</f>
        <v>6.137522476731045E-2</v>
      </c>
      <c r="J15" s="156">
        <f>'Data Sheet'!I62/'Data Sheet'!I$65</f>
        <v>3.1152505873598278E-2</v>
      </c>
      <c r="K15" s="156">
        <f>'Data Sheet'!J62/'Data Sheet'!J$65</f>
        <v>4.2651899041106903E-2</v>
      </c>
      <c r="L15" s="156">
        <f>'Data Sheet'!K62/'Data Sheet'!K$65</f>
        <v>9.6607412506706999E-2</v>
      </c>
    </row>
    <row r="16" spans="1:12" x14ac:dyDescent="0.3">
      <c r="B16" s="150" t="s">
        <v>38</v>
      </c>
      <c r="C16" s="156">
        <f>'Data Sheet'!B63/'Data Sheet'!B$65</f>
        <v>6.4626144877021785E-2</v>
      </c>
      <c r="D16" s="156">
        <f>'Data Sheet'!C63/'Data Sheet'!C$65</f>
        <v>9.0305676497502971E-2</v>
      </c>
      <c r="E16" s="156">
        <f>'Data Sheet'!D63/'Data Sheet'!D$65</f>
        <v>7.4612565630187005E-2</v>
      </c>
      <c r="F16" s="156">
        <f>'Data Sheet'!E63/'Data Sheet'!E$65</f>
        <v>6.3610241344366172E-2</v>
      </c>
      <c r="G16" s="156">
        <f>'Data Sheet'!F63/'Data Sheet'!F$65</f>
        <v>5.1588289031309388E-2</v>
      </c>
      <c r="H16" s="156">
        <f>'Data Sheet'!G63/'Data Sheet'!G$65</f>
        <v>5.0935445907370862E-2</v>
      </c>
      <c r="I16" s="156">
        <f>'Data Sheet'!H63/'Data Sheet'!H$65</f>
        <v>7.207976838475029E-2</v>
      </c>
      <c r="J16" s="156">
        <f>'Data Sheet'!I63/'Data Sheet'!I$65</f>
        <v>8.928279635517361E-2</v>
      </c>
      <c r="K16" s="156">
        <f>'Data Sheet'!J63/'Data Sheet'!J$65</f>
        <v>7.8820362822460022E-2</v>
      </c>
      <c r="L16" s="156">
        <f>'Data Sheet'!K63/'Data Sheet'!K$65</f>
        <v>6.216451634456871E-2</v>
      </c>
    </row>
    <row r="17" spans="1:12" x14ac:dyDescent="0.3">
      <c r="B17" s="150" t="s">
        <v>40</v>
      </c>
      <c r="C17" s="156">
        <f>'Data Sheet'!B66/'Data Sheet'!B$65</f>
        <v>5.3006388687363314E-2</v>
      </c>
      <c r="D17" s="156">
        <f>'Data Sheet'!C66/'Data Sheet'!C$65</f>
        <v>5.1564319306195219E-2</v>
      </c>
      <c r="E17" s="156">
        <f>'Data Sheet'!D66/'Data Sheet'!D$65</f>
        <v>5.1638166447501938E-2</v>
      </c>
      <c r="F17" s="156">
        <f>'Data Sheet'!E66/'Data Sheet'!E$65</f>
        <v>6.0800115993123419E-2</v>
      </c>
      <c r="G17" s="156">
        <f>'Data Sheet'!F66/'Data Sheet'!F$65</f>
        <v>6.2139198999658127E-2</v>
      </c>
      <c r="H17" s="156">
        <f>'Data Sheet'!G66/'Data Sheet'!G$65</f>
        <v>3.4895094278241959E-2</v>
      </c>
      <c r="I17" s="156">
        <f>'Data Sheet'!H66/'Data Sheet'!H$65</f>
        <v>3.7120014464974392E-2</v>
      </c>
      <c r="J17" s="156">
        <f>'Data Sheet'!I66/'Data Sheet'!I$65</f>
        <v>3.7810927070195913E-2</v>
      </c>
      <c r="K17" s="156">
        <f>'Data Sheet'!J66/'Data Sheet'!J$65</f>
        <v>4.7024715930643397E-2</v>
      </c>
      <c r="L17" s="156">
        <f>'Data Sheet'!K66/'Data Sheet'!K$65</f>
        <v>4.5875140766843833E-2</v>
      </c>
    </row>
    <row r="18" spans="1:12" x14ac:dyDescent="0.3">
      <c r="B18" s="150" t="s">
        <v>41</v>
      </c>
      <c r="C18" s="156">
        <f>'Data Sheet'!B67/'Data Sheet'!B$65</f>
        <v>0.1233481486762793</v>
      </c>
      <c r="D18" s="156">
        <f>'Data Sheet'!C67/'Data Sheet'!C$65</f>
        <v>0.12407940874244236</v>
      </c>
      <c r="E18" s="156">
        <f>'Data Sheet'!D67/'Data Sheet'!D$65</f>
        <v>0.12871547311772571</v>
      </c>
      <c r="F18" s="156">
        <f>'Data Sheet'!E67/'Data Sheet'!E$65</f>
        <v>0.12878571135383859</v>
      </c>
      <c r="G18" s="156">
        <f>'Data Sheet'!F67/'Data Sheet'!F$65</f>
        <v>0.12761951131143451</v>
      </c>
      <c r="H18" s="156">
        <f>'Data Sheet'!G67/'Data Sheet'!G$65</f>
        <v>0.11698716772494318</v>
      </c>
      <c r="I18" s="156">
        <f>'Data Sheet'!H67/'Data Sheet'!H$65</f>
        <v>0.1056550619461767</v>
      </c>
      <c r="J18" s="156">
        <f>'Data Sheet'!I67/'Data Sheet'!I$65</f>
        <v>0.1070934797019244</v>
      </c>
      <c r="K18" s="156">
        <f>'Data Sheet'!J67/'Data Sheet'!J$65</f>
        <v>0.12177622891596469</v>
      </c>
      <c r="L18" s="156">
        <f>'Data Sheet'!K67/'Data Sheet'!K$65</f>
        <v>0.12932510043215181</v>
      </c>
    </row>
    <row r="19" spans="1:12" x14ac:dyDescent="0.3">
      <c r="B19" s="150" t="s">
        <v>39</v>
      </c>
      <c r="C19" s="156">
        <f>'Data Sheet'!B74/'Data Sheet'!B$65</f>
        <v>0.13016959457099153</v>
      </c>
      <c r="D19" s="156">
        <f>'Data Sheet'!C74/'Data Sheet'!C$65</f>
        <v>0.11239036762552386</v>
      </c>
      <c r="E19" s="156">
        <f>'Data Sheet'!D74/'Data Sheet'!D$65</f>
        <v>0.13706335995740859</v>
      </c>
      <c r="F19" s="156">
        <f>'Data Sheet'!E74/'Data Sheet'!E$65</f>
        <v>0.14757967199729119</v>
      </c>
      <c r="G19" s="156">
        <f>'Data Sheet'!F74/'Data Sheet'!F$65</f>
        <v>0.1836934867835496</v>
      </c>
      <c r="H19" s="156">
        <f>'Data Sheet'!G74/'Data Sheet'!G$65</f>
        <v>0.1836000124805035</v>
      </c>
      <c r="I19" s="156">
        <f>'Data Sheet'!H74/'Data Sheet'!H$65</f>
        <v>0.18068910109792749</v>
      </c>
      <c r="J19" s="156">
        <f>'Data Sheet'!I74/'Data Sheet'!I$65</f>
        <v>0.18909465826584576</v>
      </c>
      <c r="K19" s="156">
        <f>'Data Sheet'!J74/'Data Sheet'!J$65</f>
        <v>0.20447361335612049</v>
      </c>
      <c r="L19" s="156">
        <f>'Data Sheet'!K74/'Data Sheet'!K$65</f>
        <v>0.21384155000177119</v>
      </c>
    </row>
    <row r="20" spans="1:12" x14ac:dyDescent="0.3">
      <c r="B20" s="152" t="s">
        <v>42</v>
      </c>
      <c r="C20" s="156">
        <f>'Data Sheet'!B68/'Data Sheet'!B$65</f>
        <v>0.13532978707311077</v>
      </c>
      <c r="D20" s="156">
        <f>'Data Sheet'!C68/'Data Sheet'!C$65</f>
        <v>0.11573798601526566</v>
      </c>
      <c r="E20" s="156">
        <f>'Data Sheet'!D68/'Data Sheet'!D$65</f>
        <v>0.13235685799226327</v>
      </c>
      <c r="F20" s="156">
        <f>'Data Sheet'!E68/'Data Sheet'!E$65</f>
        <v>0.10579088150158772</v>
      </c>
      <c r="G20" s="156">
        <f>'Data Sheet'!F68/'Data Sheet'!F$65</f>
        <v>0.10679897700873484</v>
      </c>
      <c r="H20" s="156">
        <f>'Data Sheet'!G68/'Data Sheet'!G$65</f>
        <v>0.10533772957715985</v>
      </c>
      <c r="I20" s="156">
        <f>'Data Sheet'!H68/'Data Sheet'!H$65</f>
        <v>0.13699233635656022</v>
      </c>
      <c r="J20" s="156">
        <f>'Data Sheet'!I68/'Data Sheet'!I$65</f>
        <v>0.12359146006419652</v>
      </c>
      <c r="K20" s="156">
        <f>'Data Sheet'!J68/'Data Sheet'!J$65</f>
        <v>0.11060169729728082</v>
      </c>
      <c r="L20" s="156">
        <f>'Data Sheet'!K68/'Data Sheet'!K$65</f>
        <v>0.1239624766802588</v>
      </c>
    </row>
    <row r="21" spans="1:12" ht="15" thickBot="1" x14ac:dyDescent="0.35">
      <c r="B21" s="151" t="s">
        <v>86</v>
      </c>
      <c r="C21" s="160">
        <f>'Data Sheet'!B17/'Data Sheet'!B$17</f>
        <v>1</v>
      </c>
      <c r="D21" s="147">
        <f t="shared" ref="D21:L21" si="1">SUM(D14:D20)</f>
        <v>1</v>
      </c>
      <c r="E21" s="147">
        <f t="shared" si="1"/>
        <v>1</v>
      </c>
      <c r="F21" s="147">
        <f t="shared" si="1"/>
        <v>1</v>
      </c>
      <c r="G21" s="147">
        <f t="shared" si="1"/>
        <v>0.99999999999999989</v>
      </c>
      <c r="H21" s="147">
        <f t="shared" si="1"/>
        <v>1</v>
      </c>
      <c r="I21" s="147">
        <f t="shared" si="1"/>
        <v>1</v>
      </c>
      <c r="J21" s="147">
        <f t="shared" si="1"/>
        <v>1.0000000000000002</v>
      </c>
      <c r="K21" s="147">
        <f t="shared" si="1"/>
        <v>1</v>
      </c>
      <c r="L21" s="147">
        <f t="shared" si="1"/>
        <v>1</v>
      </c>
    </row>
    <row r="23" spans="1:12" x14ac:dyDescent="0.3">
      <c r="A23" s="25" t="s">
        <v>57</v>
      </c>
      <c r="B23" s="20" t="s">
        <v>161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5" spans="1:12" x14ac:dyDescent="0.3">
      <c r="B25" s="148" t="s">
        <v>160</v>
      </c>
      <c r="C25" s="149">
        <f>'Data Sheet'!B16</f>
        <v>42094</v>
      </c>
      <c r="D25" s="149">
        <f>'Data Sheet'!C16</f>
        <v>42460</v>
      </c>
      <c r="E25" s="149">
        <f>'Data Sheet'!D16</f>
        <v>42825</v>
      </c>
      <c r="F25" s="149">
        <f>'Data Sheet'!E16</f>
        <v>43190</v>
      </c>
      <c r="G25" s="149">
        <f>'Data Sheet'!F16</f>
        <v>43555</v>
      </c>
      <c r="H25" s="149">
        <f>'Data Sheet'!G16</f>
        <v>43921</v>
      </c>
      <c r="I25" s="149">
        <f>'Data Sheet'!H16</f>
        <v>44286</v>
      </c>
      <c r="J25" s="149">
        <f>'Data Sheet'!I16</f>
        <v>44651</v>
      </c>
      <c r="K25" s="149">
        <f>'Data Sheet'!J16</f>
        <v>45016</v>
      </c>
      <c r="L25" s="149">
        <f>'Data Sheet'!K16</f>
        <v>45382</v>
      </c>
    </row>
    <row r="26" spans="1:12" x14ac:dyDescent="0.3">
      <c r="B26" s="153" t="s">
        <v>12</v>
      </c>
      <c r="C26" s="156">
        <f>'Data Sheet'!B17/'Data Sheet'!B$17</f>
        <v>1</v>
      </c>
      <c r="D26" s="156">
        <f>'Data Sheet'!C17/'Data Sheet'!C$17</f>
        <v>1</v>
      </c>
      <c r="E26" s="156">
        <f>'Data Sheet'!D17/'Data Sheet'!D$17</f>
        <v>1</v>
      </c>
      <c r="F26" s="156">
        <f>'Data Sheet'!E17/'Data Sheet'!E$17</f>
        <v>1</v>
      </c>
      <c r="G26" s="156">
        <f>'Data Sheet'!F17/'Data Sheet'!F$17</f>
        <v>1</v>
      </c>
      <c r="H26" s="156">
        <f>'Data Sheet'!G17/'Data Sheet'!G$17</f>
        <v>1</v>
      </c>
      <c r="I26" s="156">
        <f>'Data Sheet'!H17/'Data Sheet'!H$17</f>
        <v>1</v>
      </c>
      <c r="J26" s="156">
        <f>'Data Sheet'!I17/'Data Sheet'!I$17</f>
        <v>1</v>
      </c>
      <c r="K26" s="156">
        <f>'Data Sheet'!J17/'Data Sheet'!J$17</f>
        <v>1</v>
      </c>
      <c r="L26" s="156">
        <f>'Data Sheet'!K17/'Data Sheet'!K$17</f>
        <v>1</v>
      </c>
    </row>
    <row r="27" spans="1:12" x14ac:dyDescent="0.3">
      <c r="B27" s="152" t="s">
        <v>13</v>
      </c>
      <c r="C27" s="156">
        <f>'Data Sheet'!B18/'Data Sheet'!B$17</f>
        <v>0.62034880968150885</v>
      </c>
      <c r="D27" s="156">
        <f>'Data Sheet'!C18/'Data Sheet'!C$17</f>
        <v>0.60844785632875986</v>
      </c>
      <c r="E27" s="156">
        <f>'Data Sheet'!D18/'Data Sheet'!D$17</f>
        <v>0.64256170851760019</v>
      </c>
      <c r="F27" s="156">
        <f>'Data Sheet'!E18/'Data Sheet'!E$17</f>
        <v>0.6444735745247272</v>
      </c>
      <c r="G27" s="156">
        <f>'Data Sheet'!F18/'Data Sheet'!F$17</f>
        <v>0.64340246222408271</v>
      </c>
      <c r="H27" s="156">
        <f>'Data Sheet'!G18/'Data Sheet'!G$17</f>
        <v>0.63163558516963991</v>
      </c>
      <c r="I27" s="156">
        <f>'Data Sheet'!H18/'Data Sheet'!H$17</f>
        <v>0.6149343010611712</v>
      </c>
      <c r="J27" s="156">
        <f>'Data Sheet'!I18/'Data Sheet'!I$17</f>
        <v>0.64389656704768283</v>
      </c>
      <c r="K27" s="156">
        <f>'Data Sheet'!J18/'Data Sheet'!J$17</f>
        <v>0.66842005177546293</v>
      </c>
      <c r="L27" s="156">
        <f>'Data Sheet'!K18/'Data Sheet'!K$17</f>
        <v>0.62640747810991748</v>
      </c>
    </row>
    <row r="28" spans="1:12" x14ac:dyDescent="0.3">
      <c r="B28" s="152" t="s">
        <v>14</v>
      </c>
      <c r="C28" s="156">
        <f>'Data Sheet'!B19/'Data Sheet'!B$17</f>
        <v>1.2655277809634314E-2</v>
      </c>
      <c r="D28" s="156">
        <f>'Data Sheet'!C19/'Data Sheet'!C$17</f>
        <v>1.0075203555743071E-2</v>
      </c>
      <c r="E28" s="156">
        <f>'Data Sheet'!D19/'Data Sheet'!D$17</f>
        <v>2.7438359337454348E-2</v>
      </c>
      <c r="F28" s="156">
        <f>'Data Sheet'!E19/'Data Sheet'!E$17</f>
        <v>7.0196420187680708E-3</v>
      </c>
      <c r="G28" s="156">
        <f>'Data Sheet'!F19/'Data Sheet'!F$17</f>
        <v>-6.8003274840166073E-3</v>
      </c>
      <c r="H28" s="156">
        <f>'Data Sheet'!G19/'Data Sheet'!G$17</f>
        <v>-8.5463950250197294E-3</v>
      </c>
      <c r="I28" s="156">
        <f>'Data Sheet'!H19/'Data Sheet'!H$17</f>
        <v>-1.8752035421080705E-2</v>
      </c>
      <c r="J28" s="156">
        <f>'Data Sheet'!I19/'Data Sheet'!I$17</f>
        <v>-5.7118668451859233E-3</v>
      </c>
      <c r="K28" s="156">
        <f>'Data Sheet'!J19/'Data Sheet'!J$17</f>
        <v>1.3821030371772196E-2</v>
      </c>
      <c r="L28" s="156">
        <f>'Data Sheet'!K19/'Data Sheet'!K$17</f>
        <v>3.5748589316452802E-3</v>
      </c>
    </row>
    <row r="29" spans="1:12" x14ac:dyDescent="0.3">
      <c r="B29" s="152" t="s">
        <v>15</v>
      </c>
      <c r="C29" s="156">
        <f>'Data Sheet'!B20/'Data Sheet'!B$17</f>
        <v>4.2626324209038965E-3</v>
      </c>
      <c r="D29" s="156">
        <f>'Data Sheet'!C20/'Data Sheet'!C$17</f>
        <v>4.1884212746881849E-3</v>
      </c>
      <c r="E29" s="156">
        <f>'Data Sheet'!D20/'Data Sheet'!D$17</f>
        <v>4.3005272931013168E-3</v>
      </c>
      <c r="F29" s="156">
        <f>'Data Sheet'!E20/'Data Sheet'!E$17</f>
        <v>4.4866329837632236E-3</v>
      </c>
      <c r="G29" s="156">
        <f>'Data Sheet'!F20/'Data Sheet'!F$17</f>
        <v>5.252495210943689E-3</v>
      </c>
      <c r="H29" s="156">
        <f>'Data Sheet'!G20/'Data Sheet'!G$17</f>
        <v>4.8452899066859867E-3</v>
      </c>
      <c r="I29" s="156">
        <f>'Data Sheet'!H20/'Data Sheet'!H$17</f>
        <v>4.4551376680254488E-3</v>
      </c>
      <c r="J29" s="156">
        <f>'Data Sheet'!I20/'Data Sheet'!I$17</f>
        <v>7.8228108508698862E-3</v>
      </c>
      <c r="K29" s="156">
        <f>'Data Sheet'!J20/'Data Sheet'!J$17</f>
        <v>7.2646530389880865E-3</v>
      </c>
      <c r="L29" s="156">
        <f>'Data Sheet'!K20/'Data Sheet'!K$17</f>
        <v>5.0125161051102094E-3</v>
      </c>
    </row>
    <row r="30" spans="1:12" x14ac:dyDescent="0.3">
      <c r="B30" s="152" t="s">
        <v>16</v>
      </c>
      <c r="C30" s="156">
        <f>'Data Sheet'!B21/'Data Sheet'!B$17</f>
        <v>6.1457792548063536E-2</v>
      </c>
      <c r="D30" s="156">
        <f>'Data Sheet'!C21/'Data Sheet'!C$17</f>
        <v>4.4320545725695638E-2</v>
      </c>
      <c r="E30" s="156">
        <f>'Data Sheet'!D21/'Data Sheet'!D$17</f>
        <v>3.7329067833585743E-2</v>
      </c>
      <c r="F30" s="156">
        <f>'Data Sheet'!E21/'Data Sheet'!E$17</f>
        <v>3.7632110912662539E-2</v>
      </c>
      <c r="G30" s="156">
        <f>'Data Sheet'!F21/'Data Sheet'!F$17</f>
        <v>3.8731542592793759E-2</v>
      </c>
      <c r="H30" s="156">
        <f>'Data Sheet'!G21/'Data Sheet'!G$17</f>
        <v>4.4208831899217663E-2</v>
      </c>
      <c r="I30" s="156">
        <f>'Data Sheet'!H21/'Data Sheet'!H$17</f>
        <v>3.3119871414431248E-2</v>
      </c>
      <c r="J30" s="156">
        <f>'Data Sheet'!I21/'Data Sheet'!I$17</f>
        <v>3.3856194794666339E-2</v>
      </c>
      <c r="K30" s="156">
        <f>'Data Sheet'!J21/'Data Sheet'!J$17</f>
        <v>3.4008940217616732E-2</v>
      </c>
      <c r="L30" s="156">
        <f>'Data Sheet'!K21/'Data Sheet'!K$17</f>
        <v>3.9080257458895561E-2</v>
      </c>
    </row>
    <row r="31" spans="1:12" x14ac:dyDescent="0.3">
      <c r="B31" s="152" t="s">
        <v>17</v>
      </c>
      <c r="C31" s="156">
        <f>'Data Sheet'!B22/'Data Sheet'!B$17</f>
        <v>9.7439008161530352E-2</v>
      </c>
      <c r="D31" s="156">
        <f>'Data Sheet'!C22/'Data Sheet'!C$17</f>
        <v>0.10577313825968997</v>
      </c>
      <c r="E31" s="156">
        <f>'Data Sheet'!D22/'Data Sheet'!D$17</f>
        <v>0.10505627316086753</v>
      </c>
      <c r="F31" s="156">
        <f>'Data Sheet'!E22/'Data Sheet'!E$17</f>
        <v>0.10392742279141506</v>
      </c>
      <c r="G31" s="156">
        <f>'Data Sheet'!F22/'Data Sheet'!F$17</f>
        <v>0.11010149752399827</v>
      </c>
      <c r="H31" s="156">
        <f>'Data Sheet'!G22/'Data Sheet'!G$17</f>
        <v>0.11659262528451882</v>
      </c>
      <c r="I31" s="156">
        <f>'Data Sheet'!H22/'Data Sheet'!H$17</f>
        <v>0.11068479221440802</v>
      </c>
      <c r="J31" s="156">
        <f>'Data Sheet'!I22/'Data Sheet'!I$17</f>
        <v>0.11064147774412127</v>
      </c>
      <c r="K31" s="156">
        <f>'Data Sheet'!J22/'Data Sheet'!J$17</f>
        <v>9.7277205393335675E-2</v>
      </c>
      <c r="L31" s="156">
        <f>'Data Sheet'!K22/'Data Sheet'!K$17</f>
        <v>9.701746020810692E-2</v>
      </c>
    </row>
    <row r="32" spans="1:12" x14ac:dyDescent="0.3">
      <c r="B32" s="152" t="s">
        <v>18</v>
      </c>
      <c r="C32" s="156">
        <f>'Data Sheet'!B23/'Data Sheet'!B$17</f>
        <v>8.96910681140351E-2</v>
      </c>
      <c r="D32" s="156">
        <f>'Data Sheet'!C23/'Data Sheet'!C$17</f>
        <v>8.0542956927341092E-2</v>
      </c>
      <c r="E32" s="156">
        <f>'Data Sheet'!D23/'Data Sheet'!D$17</f>
        <v>0.1113838126242364</v>
      </c>
      <c r="F32" s="156">
        <f>'Data Sheet'!E23/'Data Sheet'!E$17</f>
        <v>0.10634377964323709</v>
      </c>
      <c r="G32" s="156">
        <f>'Data Sheet'!F23/'Data Sheet'!F$17</f>
        <v>0.1083658123643763</v>
      </c>
      <c r="H32" s="156">
        <f>'Data Sheet'!G23/'Data Sheet'!G$17</f>
        <v>0.11203335284677013</v>
      </c>
      <c r="I32" s="156">
        <f>'Data Sheet'!H23/'Data Sheet'!H$17</f>
        <v>9.2138805959692913E-2</v>
      </c>
      <c r="J32" s="156">
        <f>'Data Sheet'!I23/'Data Sheet'!I$17</f>
        <v>0.10488425325553319</v>
      </c>
      <c r="K32" s="156">
        <f>'Data Sheet'!J23/'Data Sheet'!J$17</f>
        <v>0.10070091373173573</v>
      </c>
      <c r="L32" s="156">
        <f>'Data Sheet'!K23/'Data Sheet'!K$17</f>
        <v>9.7653843692077344E-2</v>
      </c>
    </row>
    <row r="33" spans="2:12" x14ac:dyDescent="0.3">
      <c r="B33" s="152" t="s">
        <v>19</v>
      </c>
      <c r="C33" s="156">
        <f>'Data Sheet'!B24/'Data Sheet'!B$17</f>
        <v>-9.6502882022114541E-3</v>
      </c>
      <c r="D33" s="156">
        <f>'Data Sheet'!C24/'Data Sheet'!C$17</f>
        <v>2.6183831565130516E-2</v>
      </c>
      <c r="E33" s="156">
        <f>'Data Sheet'!D24/'Data Sheet'!D$17</f>
        <v>1.7094282670289951E-2</v>
      </c>
      <c r="F33" s="156">
        <f>'Data Sheet'!E24/'Data Sheet'!E$17</f>
        <v>2.2582367211331639E-3</v>
      </c>
      <c r="G33" s="156">
        <f>'Data Sheet'!F24/'Data Sheet'!F$17</f>
        <v>5.6592338039812094E-3</v>
      </c>
      <c r="H33" s="156">
        <f>'Data Sheet'!G24/'Data Sheet'!G$17</f>
        <v>1.3239885383105405E-2</v>
      </c>
      <c r="I33" s="156">
        <f>'Data Sheet'!H24/'Data Sheet'!H$17</f>
        <v>-3.3407827826645677E-3</v>
      </c>
      <c r="J33" s="156">
        <f>'Data Sheet'!I24/'Data Sheet'!I$17</f>
        <v>4.4105011096641517E-3</v>
      </c>
      <c r="K33" s="156">
        <f>'Data Sheet'!J24/'Data Sheet'!J$17</f>
        <v>1.4187308112100993E-2</v>
      </c>
      <c r="L33" s="156">
        <f>'Data Sheet'!K24/'Data Sheet'!K$17</f>
        <v>2.4486001424390141E-3</v>
      </c>
    </row>
    <row r="34" spans="2:12" x14ac:dyDescent="0.3">
      <c r="B34" s="150" t="s">
        <v>21</v>
      </c>
      <c r="C34" s="156">
        <f>'Data Sheet'!B26/'Data Sheet'!B$17</f>
        <v>5.0876584184966822E-2</v>
      </c>
      <c r="D34" s="156">
        <f>'Data Sheet'!C26/'Data Sheet'!C$17</f>
        <v>6.1201425695927715E-2</v>
      </c>
      <c r="E34" s="156">
        <f>'Data Sheet'!D26/'Data Sheet'!D$17</f>
        <v>6.63903865924938E-2</v>
      </c>
      <c r="F34" s="156">
        <f>'Data Sheet'!E26/'Data Sheet'!E$17</f>
        <v>7.3927472182518786E-2</v>
      </c>
      <c r="G34" s="156">
        <f>'Data Sheet'!F26/'Data Sheet'!F$17</f>
        <v>7.8130605447998658E-2</v>
      </c>
      <c r="H34" s="156">
        <f>'Data Sheet'!G26/'Data Sheet'!G$17</f>
        <v>8.206839774331566E-2</v>
      </c>
      <c r="I34" s="156">
        <f>'Data Sheet'!H26/'Data Sheet'!H$17</f>
        <v>9.4264230933596482E-2</v>
      </c>
      <c r="J34" s="156">
        <f>'Data Sheet'!I26/'Data Sheet'!I$17</f>
        <v>8.9191478279219347E-2</v>
      </c>
      <c r="K34" s="156">
        <f>'Data Sheet'!J26/'Data Sheet'!J$17</f>
        <v>7.1857611147098821E-2</v>
      </c>
      <c r="L34" s="156">
        <f>'Data Sheet'!K26/'Data Sheet'!K$17</f>
        <v>6.2270839777984394E-2</v>
      </c>
    </row>
    <row r="35" spans="2:12" x14ac:dyDescent="0.3">
      <c r="B35" s="150" t="s">
        <v>22</v>
      </c>
      <c r="C35" s="156">
        <f>'Data Sheet'!B27/'Data Sheet'!B$17</f>
        <v>1.8473585814932098E-2</v>
      </c>
      <c r="D35" s="156">
        <f>'Data Sheet'!C27/'Data Sheet'!C$17</f>
        <v>1.7905727101993223E-2</v>
      </c>
      <c r="E35" s="156">
        <f>'Data Sheet'!D27/'Data Sheet'!D$17</f>
        <v>1.5714229512714312E-2</v>
      </c>
      <c r="F35" s="156">
        <f>'Data Sheet'!E27/'Data Sheet'!E$17</f>
        <v>1.605824830060304E-2</v>
      </c>
      <c r="G35" s="156">
        <f>'Data Sheet'!F27/'Data Sheet'!F$17</f>
        <v>1.9072102124141878E-2</v>
      </c>
      <c r="H35" s="156">
        <f>'Data Sheet'!G27/'Data Sheet'!G$17</f>
        <v>2.7744996829752802E-2</v>
      </c>
      <c r="I35" s="156">
        <f>'Data Sheet'!H27/'Data Sheet'!H$17</f>
        <v>3.2415292955516477E-2</v>
      </c>
      <c r="J35" s="156">
        <f>'Data Sheet'!I27/'Data Sheet'!I$17</f>
        <v>3.3441332168710897E-2</v>
      </c>
      <c r="K35" s="156">
        <f>'Data Sheet'!J27/'Data Sheet'!J$17</f>
        <v>2.9556231914277829E-2</v>
      </c>
      <c r="L35" s="156">
        <f>'Data Sheet'!K27/'Data Sheet'!K$17</f>
        <v>2.2802299109736749E-2</v>
      </c>
    </row>
    <row r="36" spans="2:12" x14ac:dyDescent="0.3">
      <c r="B36" s="155" t="s">
        <v>23</v>
      </c>
      <c r="C36" s="157">
        <f>'Data Sheet'!B28/'Data Sheet'!B$17</f>
        <v>8.246938789624432E-2</v>
      </c>
      <c r="D36" s="158">
        <f>'Data Sheet'!C28/'Data Sheet'!C$17</f>
        <v>5.1734105951533375E-2</v>
      </c>
      <c r="E36" s="158">
        <f>'Data Sheet'!D28/'Data Sheet'!D$17</f>
        <v>3.453855652127677E-2</v>
      </c>
      <c r="F36" s="158">
        <f>'Data Sheet'!E28/'Data Sheet'!E$17</f>
        <v>3.8261058599526235E-2</v>
      </c>
      <c r="G36" s="158">
        <f>'Data Sheet'!F28/'Data Sheet'!F$17</f>
        <v>-0.10389917281140788</v>
      </c>
      <c r="H36" s="158">
        <f>'Data Sheet'!G28/'Data Sheet'!G$17</f>
        <v>-4.0525768059559354E-2</v>
      </c>
      <c r="I36" s="158">
        <f>'Data Sheet'!H28/'Data Sheet'!H$17</f>
        <v>-4.1931545799101064E-2</v>
      </c>
      <c r="J36" s="158">
        <f>'Data Sheet'!I28/'Data Sheet'!I$17</f>
        <v>-2.5151082611172375E-2</v>
      </c>
      <c r="K36" s="158">
        <f>'Data Sheet'!J28/'Data Sheet'!J$17</f>
        <v>9.809982727541881E-3</v>
      </c>
      <c r="L36" s="158">
        <f>'Data Sheet'!K28/'Data Sheet'!K$17</f>
        <v>6.3834978996650513E-2</v>
      </c>
    </row>
    <row r="37" spans="2:12" x14ac:dyDescent="0.3">
      <c r="B37" s="150" t="s">
        <v>24</v>
      </c>
      <c r="C37" s="156">
        <f>'Data Sheet'!B29/'Data Sheet'!B$17</f>
        <v>2.9042938226922752E-2</v>
      </c>
      <c r="D37" s="156">
        <f>'Data Sheet'!C29/'Data Sheet'!C$17</f>
        <v>1.1078918686109574E-2</v>
      </c>
      <c r="E37" s="156">
        <f>'Data Sheet'!D29/'Data Sheet'!D$17</f>
        <v>1.2055321818169885E-2</v>
      </c>
      <c r="F37" s="156">
        <f>'Data Sheet'!E29/'Data Sheet'!E$17</f>
        <v>1.4892549653836963E-2</v>
      </c>
      <c r="G37" s="156">
        <f>'Data Sheet'!F29/'Data Sheet'!F$17</f>
        <v>-8.0726731015332912E-3</v>
      </c>
      <c r="H37" s="156">
        <f>'Data Sheet'!G29/'Data Sheet'!G$17</f>
        <v>1.5139735448971392E-3</v>
      </c>
      <c r="I37" s="156">
        <f>'Data Sheet'!H29/'Data Sheet'!H$17</f>
        <v>1.0175794327142584E-2</v>
      </c>
      <c r="J37" s="156">
        <f>'Data Sheet'!I29/'Data Sheet'!I$17</f>
        <v>1.5195672442685429E-2</v>
      </c>
      <c r="K37" s="156">
        <f>'Data Sheet'!J29/'Data Sheet'!J$17</f>
        <v>2.0350497621203548E-3</v>
      </c>
      <c r="L37" s="156">
        <f>'Data Sheet'!K29/'Data Sheet'!K$17</f>
        <v>-8.795149026516404E-3</v>
      </c>
    </row>
    <row r="38" spans="2:12" x14ac:dyDescent="0.3">
      <c r="B38" s="155" t="s">
        <v>25</v>
      </c>
      <c r="C38" s="157">
        <f>'Data Sheet'!B30/'Data Sheet'!B$17</f>
        <v>5.3147682818956064E-2</v>
      </c>
      <c r="D38" s="158">
        <f>'Data Sheet'!C30/'Data Sheet'!C$17</f>
        <v>4.2407971415763523E-2</v>
      </c>
      <c r="E38" s="158">
        <f>'Data Sheet'!D30/'Data Sheet'!D$17</f>
        <v>2.764021885516954E-2</v>
      </c>
      <c r="F38" s="158">
        <f>'Data Sheet'!E30/'Data Sheet'!E$17</f>
        <v>3.0831401821049997E-2</v>
      </c>
      <c r="G38" s="158">
        <f>'Data Sheet'!F30/'Data Sheet'!F$17</f>
        <v>-9.5470566181711222E-2</v>
      </c>
      <c r="H38" s="158">
        <f>'Data Sheet'!G30/'Data Sheet'!G$17</f>
        <v>-4.6236426475450051E-2</v>
      </c>
      <c r="I38" s="158">
        <f>'Data Sheet'!H30/'Data Sheet'!H$17</f>
        <v>-5.3849770661713266E-2</v>
      </c>
      <c r="J38" s="158">
        <f>'Data Sheet'!I30/'Data Sheet'!I$17</f>
        <v>-4.1089320368684734E-2</v>
      </c>
      <c r="K38" s="158">
        <f>'Data Sheet'!J30/'Data Sheet'!J$17</f>
        <v>6.9783829363826268E-3</v>
      </c>
      <c r="L38" s="158">
        <f>'Data Sheet'!K30/'Data Sheet'!K$17</f>
        <v>7.169924391869463E-2</v>
      </c>
    </row>
    <row r="39" spans="2:12" x14ac:dyDescent="0.3">
      <c r="B39" s="154" t="s">
        <v>65</v>
      </c>
      <c r="C39" s="157">
        <f>'Data Sheet'!B34/'Data Sheet'!B$17</f>
        <v>0.15154079104577772</v>
      </c>
      <c r="D39" s="158">
        <f>'Data Sheet'!C34/'Data Sheet'!C$17</f>
        <v>0.13259404289979404</v>
      </c>
      <c r="E39" s="158">
        <f>'Data Sheet'!D34/'Data Sheet'!D$17</f>
        <v>0.12180015677854755</v>
      </c>
      <c r="F39" s="158">
        <f>'Data Sheet'!E34/'Data Sheet'!E$17</f>
        <v>0.13570967195800879</v>
      </c>
      <c r="G39" s="158">
        <f>'Data Sheet'!F34/'Data Sheet'!F$17</f>
        <v>-6.3405317111039795E-3</v>
      </c>
      <c r="H39" s="158">
        <f>'Data Sheet'!G34/'Data Sheet'!G$17</f>
        <v>6.5090941642515554E-2</v>
      </c>
      <c r="I39" s="158">
        <f>'Data Sheet'!H34/'Data Sheet'!H$17</f>
        <v>8.3005547554542272E-2</v>
      </c>
      <c r="J39" s="158">
        <f>'Data Sheet'!I34/'Data Sheet'!I$17</f>
        <v>9.6739162521930946E-2</v>
      </c>
      <c r="K39" s="158">
        <f>'Data Sheet'!J34/'Data Sheet'!J$17</f>
        <v>0.11042727575987964</v>
      </c>
      <c r="L39" s="158">
        <f>'Data Sheet'!K34/'Data Sheet'!K$17</f>
        <v>0.14797723377989935</v>
      </c>
    </row>
  </sheetData>
  <mergeCells count="1">
    <mergeCell ref="B2:L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50CA-6461-49EF-948B-493701DB6316}">
  <dimension ref="B2:O43"/>
  <sheetViews>
    <sheetView showGridLines="0" zoomScale="81" workbookViewId="0">
      <pane ySplit="3" topLeftCell="A4" activePane="bottomLeft" state="frozen"/>
      <selection pane="bottomLeft" activeCell="R14" sqref="R14"/>
    </sheetView>
  </sheetViews>
  <sheetFormatPr defaultRowHeight="14.4" x14ac:dyDescent="0.3"/>
  <cols>
    <col min="1" max="1" width="1.88671875" customWidth="1"/>
    <col min="2" max="2" width="28" customWidth="1"/>
    <col min="4" max="4" width="12.109375" bestFit="1" customWidth="1"/>
    <col min="5" max="9" width="9" bestFit="1" customWidth="1"/>
    <col min="10" max="10" width="9.77734375" bestFit="1" customWidth="1"/>
    <col min="11" max="11" width="9.6640625" bestFit="1" customWidth="1"/>
    <col min="12" max="12" width="9" bestFit="1" customWidth="1"/>
    <col min="13" max="13" width="16.44140625" customWidth="1"/>
    <col min="14" max="14" width="10.21875" customWidth="1"/>
    <col min="15" max="15" width="10" customWidth="1"/>
  </cols>
  <sheetData>
    <row r="2" spans="2:15" x14ac:dyDescent="0.3">
      <c r="B2" s="169" t="str">
        <f>"Ratio Analysis - "&amp;'Data Sheet'!B1</f>
        <v>Ratio Analysis - TATA MOTORS LTD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3" spans="2:15" x14ac:dyDescent="0.3">
      <c r="B3" s="8" t="s">
        <v>54</v>
      </c>
      <c r="C3" s="9">
        <f>'Data Sheet'!B16</f>
        <v>42094</v>
      </c>
      <c r="D3" s="9">
        <f>'Data Sheet'!C16</f>
        <v>42460</v>
      </c>
      <c r="E3" s="9">
        <f>'Data Sheet'!D16</f>
        <v>42825</v>
      </c>
      <c r="F3" s="9">
        <f>'Data Sheet'!E16</f>
        <v>43190</v>
      </c>
      <c r="G3" s="9">
        <f>'Data Sheet'!F16</f>
        <v>43555</v>
      </c>
      <c r="H3" s="9">
        <f>'Data Sheet'!G16</f>
        <v>43921</v>
      </c>
      <c r="I3" s="9">
        <f>'Data Sheet'!H16</f>
        <v>44286</v>
      </c>
      <c r="J3" s="9">
        <f>'Data Sheet'!I16</f>
        <v>44651</v>
      </c>
      <c r="K3" s="9">
        <f>'Data Sheet'!J16</f>
        <v>45016</v>
      </c>
      <c r="L3" s="9">
        <f>'Data Sheet'!K16</f>
        <v>45382</v>
      </c>
      <c r="M3" s="56" t="s">
        <v>156</v>
      </c>
      <c r="N3" s="35" t="s">
        <v>154</v>
      </c>
      <c r="O3" s="35" t="s">
        <v>155</v>
      </c>
    </row>
    <row r="6" spans="2:15" x14ac:dyDescent="0.3">
      <c r="B6" s="38" t="s">
        <v>123</v>
      </c>
      <c r="C6" s="38"/>
      <c r="D6" s="39">
        <f>IFERROR('Historical FS'!D7,0)</f>
        <v>3.75690010654397E-2</v>
      </c>
      <c r="E6" s="39">
        <f>IFERROR('Historical FS'!E7,0)</f>
        <v>-1.2280329732469508E-2</v>
      </c>
      <c r="F6" s="39">
        <f>IFERROR('Historical FS'!F7,0)</f>
        <v>8.104774581985974E-2</v>
      </c>
      <c r="G6" s="39">
        <f>IFERROR('Historical FS'!G7,0)</f>
        <v>3.5629919045237157E-2</v>
      </c>
      <c r="H6" s="39">
        <f>IFERROR('Historical FS'!H7,0)</f>
        <v>-0.135360159555724</v>
      </c>
      <c r="I6" s="39">
        <f>IFERROR('Historical FS'!I7,0)</f>
        <v>-4.3181168490336042E-2</v>
      </c>
      <c r="J6" s="39">
        <f>IFERROR('Historical FS'!J7,0)</f>
        <v>0.11472967306158344</v>
      </c>
      <c r="K6" s="39">
        <f>IFERROR('Historical FS'!K7,0)</f>
        <v>0.24245815155859707</v>
      </c>
      <c r="L6" s="39">
        <f>IFERROR('Historical FS'!L7,0)</f>
        <v>0.26580803363974326</v>
      </c>
      <c r="M6" s="38"/>
      <c r="N6" s="39">
        <f>IFERROR(AVERAGE(D6:L6),0)</f>
        <v>6.5157874045770087E-2</v>
      </c>
      <c r="O6" s="39">
        <f>IFERROR(MEDIAN(C6:L6),0)</f>
        <v>3.75690010654397E-2</v>
      </c>
    </row>
    <row r="7" spans="2:15" x14ac:dyDescent="0.3">
      <c r="B7" t="s">
        <v>124</v>
      </c>
      <c r="D7" s="40">
        <f>IFERROR('Historical FS'!D18/'Historical FS'!C18-1,0)</f>
        <v>-2.1494113584437979E-2</v>
      </c>
      <c r="E7" s="40">
        <f>IFERROR('Historical FS'!E18/'Historical FS'!D18-1,0)</f>
        <v>-0.22936587208052905</v>
      </c>
      <c r="F7" s="40">
        <f>IFERROR('Historical FS'!F18/'Historical FS'!E18-1,0)</f>
        <v>6.3165689322506102E-2</v>
      </c>
      <c r="G7" s="40">
        <f>IFERROR('Historical FS'!G18/'Historical FS'!F18-1,0)</f>
        <v>-0.21595203460649259</v>
      </c>
      <c r="H7" s="40">
        <f>IFERROR('Historical FS'!H18/'Historical FS'!G18-1,0)</f>
        <v>-0.27072537547138131</v>
      </c>
      <c r="I7" s="40">
        <f>IFERROR('Historical FS'!I18/'Historical FS'!H18-1,0)</f>
        <v>0.79503554497758966</v>
      </c>
      <c r="J7" s="40">
        <f>IFERROR('Historical FS'!J18/'Historical FS'!I18-1,0)</f>
        <v>-0.234374182150762</v>
      </c>
      <c r="K7" s="40">
        <f>IFERROR('Historical FS'!K18/'Historical FS'!J18-1,0)</f>
        <v>0.28704223973294352</v>
      </c>
      <c r="L7" s="40">
        <f>IFERROR('Historical FS'!L18/'Historical FS'!K18-1,0)</f>
        <v>0.87134505497269021</v>
      </c>
      <c r="N7" s="40">
        <f t="shared" ref="N7:N11" si="0">IFERROR(AVERAGE(D7:L7),0)</f>
        <v>0.11607521679023629</v>
      </c>
      <c r="O7" s="40">
        <f t="shared" ref="O7:O11" si="1">IFERROR(MEDIAN(C7:L7),0)</f>
        <v>-2.1494113584437979E-2</v>
      </c>
    </row>
    <row r="8" spans="2:15" x14ac:dyDescent="0.3">
      <c r="B8" t="s">
        <v>125</v>
      </c>
      <c r="D8" s="40">
        <f>IFERROR(('Historical FS'!D18-'Historical FS'!D24)/('Historical FS'!C18-'Historical FS'!C24)-1,0)</f>
        <v>-0.16114300878684085</v>
      </c>
      <c r="E8" s="40">
        <f>IFERROR(('Historical FS'!E18-'Historical FS'!E24)/('Historical FS'!D18-'Historical FS'!D24)-1,0)</f>
        <v>-0.46119503958362551</v>
      </c>
      <c r="F8" s="40">
        <f>IFERROR(('Historical FS'!F18-'Historical FS'!F24)/('Historical FS'!E18-'Historical FS'!E24)-1,0)</f>
        <v>-0.15231561919597769</v>
      </c>
      <c r="G8" s="40">
        <f>IFERROR(('Historical FS'!G18-'Historical FS'!G24)/('Historical FS'!F18-'Historical FS'!F24)-1,0)</f>
        <v>-0.89159024201112635</v>
      </c>
      <c r="H8" s="40">
        <f>IFERROR(('Historical FS'!H18-'Historical FS'!H24)/('Historical FS'!G18-'Historical FS'!G24)-1,0)</f>
        <v>-4.2023470243084331</v>
      </c>
      <c r="I8" s="40">
        <f>IFERROR(('Historical FS'!I18-'Historical FS'!I24)/('Historical FS'!H18-'Historical FS'!H24)-1,0)</f>
        <v>-3.5421189171581497</v>
      </c>
      <c r="J8" s="40">
        <f>IFERROR(('Historical FS'!J18-'Historical FS'!J24)/('Historical FS'!I18-'Historical FS'!I24)-1,0)</f>
        <v>-1.0132254551112476</v>
      </c>
      <c r="K8" s="40">
        <f>IFERROR(('Historical FS'!K18-'Historical FS'!K24)/('Historical FS'!J18-'Historical FS'!J24)-1,0)</f>
        <v>-61.168166089973369</v>
      </c>
      <c r="L8" s="40">
        <f>IFERROR(('Historical FS'!L18-'Historical FS'!L24)/('Historical FS'!K18-'Historical FS'!K24)-1,0)</f>
        <v>3.639276595010557</v>
      </c>
      <c r="N8" s="40">
        <f t="shared" si="0"/>
        <v>-7.550313866790912</v>
      </c>
      <c r="O8" s="40">
        <f t="shared" si="1"/>
        <v>-0.89159024201112635</v>
      </c>
    </row>
    <row r="9" spans="2:15" x14ac:dyDescent="0.3">
      <c r="B9" t="s">
        <v>152</v>
      </c>
      <c r="D9" s="40">
        <f>IFERROR('Historical FS'!D27/'Historical FS'!C27-1,0)</f>
        <v>-0.19978245260625749</v>
      </c>
      <c r="E9" s="40">
        <f>IFERROR('Historical FS'!E27/'Historical FS'!D27-1,0)</f>
        <v>-0.55668251823863213</v>
      </c>
      <c r="F9" s="40">
        <f>IFERROR('Historical FS'!F27/'Historical FS'!E27-1,0)</f>
        <v>-0.29861436616351744</v>
      </c>
      <c r="G9" s="40">
        <f>IFERROR('Historical FS'!G27/'Historical FS'!F27-1,0)</f>
        <v>-1.897095149646705</v>
      </c>
      <c r="H9" s="40">
        <f>IFERROR('Historical FS'!H27/'Historical FS'!G27-1,0)</f>
        <v>1.2800251873039095</v>
      </c>
      <c r="I9" s="40">
        <f>IFERROR('Historical FS'!I27/'Historical FS'!H27-1,0)</f>
        <v>-1.0602479570180365</v>
      </c>
      <c r="J9" s="40">
        <f>IFERROR('Historical FS'!J27/'Historical FS'!I27-1,0)</f>
        <v>-15.64914925025267</v>
      </c>
      <c r="K9" s="40">
        <f>IFERROR('Historical FS'!K27/'Historical FS'!J27-1,0)</f>
        <v>-0.65313668793078505</v>
      </c>
      <c r="L9" s="40">
        <f>IFERROR('Historical FS'!L27/'Historical FS'!K27-1,0)</f>
        <v>-7.8141215397976129</v>
      </c>
      <c r="N9" s="40">
        <f t="shared" si="0"/>
        <v>-2.9832005260389232</v>
      </c>
      <c r="O9" s="40">
        <f t="shared" si="1"/>
        <v>-0.65313668793078505</v>
      </c>
    </row>
    <row r="10" spans="2:15" x14ac:dyDescent="0.3">
      <c r="B10" t="s">
        <v>126</v>
      </c>
      <c r="D10" s="40">
        <f>IFERROR('Historical FS'!D33/'Historical FS'!C33-1,0)</f>
        <v>3.1824673563310757E-2</v>
      </c>
      <c r="E10" s="40">
        <f>IFERROR('Historical FS'!E33/'Historical FS'!D33-1,0)</f>
        <v>-0.69539895165986787</v>
      </c>
      <c r="F10" s="40">
        <f>IFERROR('Historical FS'!F33/'Historical FS'!E33-1,0)</f>
        <v>-0.79011124197155724</v>
      </c>
      <c r="G10" s="40">
        <f>IFERROR('Historical FS'!G33/'Historical FS'!F33-1,0)</f>
        <v>-3.5528470983790919</v>
      </c>
      <c r="H10" s="40">
        <f>IFERROR('Historical FS'!H33/'Historical FS'!G33-1,0)</f>
        <v>3.9286702707513577</v>
      </c>
      <c r="I10" s="40">
        <f>IFERROR('Historical FS'!I33/'Historical FS'!H33-1,0)</f>
        <v>-0.82862505348950144</v>
      </c>
      <c r="J10" s="40">
        <f>IFERROR('Historical FS'!J33/'Historical FS'!I33-1,0)</f>
        <v>6.1952157445306248</v>
      </c>
      <c r="K10" s="40">
        <f>IFERROR('Historical FS'!K33/'Historical FS'!J33-1,0)</f>
        <v>-0.7090436533357708</v>
      </c>
      <c r="L10" s="40">
        <f>IFERROR('Historical FS'!L33/'Historical FS'!K33-1,0)</f>
        <v>-7.5761027654059525</v>
      </c>
      <c r="N10" s="40">
        <f t="shared" si="0"/>
        <v>-0.44404645282182759</v>
      </c>
      <c r="O10" s="40">
        <f t="shared" si="1"/>
        <v>-0.7090436533357708</v>
      </c>
    </row>
    <row r="11" spans="2:15" x14ac:dyDescent="0.3">
      <c r="B11" s="41" t="s">
        <v>127</v>
      </c>
      <c r="C11" s="41"/>
      <c r="D11" s="42">
        <f>IFERROR('Historical FS'!D42/'Historical FS'!C42-1,0)</f>
        <v>0</v>
      </c>
      <c r="E11" s="42">
        <f>IFERROR('Historical FS'!E42/'Historical FS'!D42-1,0)</f>
        <v>-1</v>
      </c>
      <c r="F11" s="42">
        <f>IFERROR('Historical FS'!F42/'Historical FS'!E42-1,0)</f>
        <v>0</v>
      </c>
      <c r="G11" s="42">
        <f>IFERROR('Historical FS'!G42/'Historical FS'!F42-1,0)</f>
        <v>0</v>
      </c>
      <c r="H11" s="42">
        <f>IFERROR('Historical FS'!H42/'Historical FS'!G42-1,0)</f>
        <v>0</v>
      </c>
      <c r="I11" s="42">
        <f>IFERROR('Historical FS'!I42/'Historical FS'!H42-1,0)</f>
        <v>0</v>
      </c>
      <c r="J11" s="42">
        <f>IFERROR('Historical FS'!J42/'Historical FS'!I42-1,0)</f>
        <v>0</v>
      </c>
      <c r="K11" s="42">
        <f>IFERROR('Historical FS'!K42/'Historical FS'!J42-1,0)</f>
        <v>0</v>
      </c>
      <c r="L11" s="42">
        <f>IFERROR('Historical FS'!L42/'Historical FS'!K42-1,0)</f>
        <v>1.9997122285739932</v>
      </c>
      <c r="M11" s="41"/>
      <c r="N11" s="42">
        <f t="shared" si="0"/>
        <v>0.11107913650822147</v>
      </c>
      <c r="O11" s="42">
        <f t="shared" si="1"/>
        <v>0</v>
      </c>
    </row>
    <row r="12" spans="2:15" x14ac:dyDescent="0.3">
      <c r="N12" s="23"/>
    </row>
    <row r="13" spans="2:15" x14ac:dyDescent="0.3">
      <c r="B13" s="38" t="s">
        <v>69</v>
      </c>
      <c r="C13" s="39">
        <f>IFERROR('Historical FS'!C13,0)</f>
        <v>0.22914703499762759</v>
      </c>
      <c r="D13" s="39">
        <f>IFERROR('Historical FS'!D13,0)</f>
        <v>0.24734524196690946</v>
      </c>
      <c r="E13" s="39">
        <f>IFERROR('Historical FS'!E13,0)</f>
        <v>0.23819078253229964</v>
      </c>
      <c r="F13" s="39">
        <f>IFERROR('Historical FS'!F13,0)</f>
        <v>0.21649990080619999</v>
      </c>
      <c r="G13" s="39">
        <f>IFERROR('Historical FS'!G13,0)</f>
        <v>0.19571167496416494</v>
      </c>
      <c r="H13" s="39">
        <f>IFERROR('Historical FS'!H13,0)</f>
        <v>0.19417127271491774</v>
      </c>
      <c r="I13" s="39">
        <f>IFERROR('Historical FS'!I13,0)</f>
        <v>0.2180538622208833</v>
      </c>
      <c r="J13" s="39">
        <f>IFERROR('Historical FS'!J13,0)</f>
        <v>0.19807108271747378</v>
      </c>
      <c r="K13" s="39">
        <f>IFERROR('Historical FS'!K13,0)</f>
        <v>0.20685017994636876</v>
      </c>
      <c r="L13" s="39">
        <f>IFERROR('Historical FS'!L13,0)</f>
        <v>0.23605714704961514</v>
      </c>
      <c r="M13" s="38"/>
      <c r="N13" s="39">
        <f>IFERROR(AVERAGE(C13:L13),0)</f>
        <v>0.21800981799164604</v>
      </c>
      <c r="O13" s="39">
        <f t="shared" ref="O13:O33" si="2">IFERROR(MEDIAN(C13:L13),0)</f>
        <v>0.21727688151354163</v>
      </c>
    </row>
    <row r="14" spans="2:15" x14ac:dyDescent="0.3">
      <c r="B14" t="s">
        <v>128</v>
      </c>
      <c r="C14" s="40">
        <f>IFERROR('Historical FS'!C19,0)</f>
        <v>0.14910625508580397</v>
      </c>
      <c r="D14" s="40">
        <f>IFERROR('Historical FS'!D19,0)</f>
        <v>0.14061845347443788</v>
      </c>
      <c r="E14" s="40">
        <f>IFERROR('Historical FS'!E19,0)</f>
        <v>0.10971268723777329</v>
      </c>
      <c r="F14" s="40">
        <f>IFERROR('Historical FS'!F19,0)</f>
        <v>0.10789788444182975</v>
      </c>
      <c r="G14" s="40">
        <f>IFERROR('Historical FS'!G19,0)</f>
        <v>8.1686628795807431E-2</v>
      </c>
      <c r="H14" s="40">
        <f>IFERROR('Historical FS'!H19,0)</f>
        <v>6.8898034485042198E-2</v>
      </c>
      <c r="I14" s="40">
        <f>IFERROR('Historical FS'!I19,0)</f>
        <v>0.12925583904385496</v>
      </c>
      <c r="J14" s="40">
        <f>IFERROR('Historical FS'!J19,0)</f>
        <v>8.877632835227646E-2</v>
      </c>
      <c r="K14" s="40">
        <f>IFERROR('Historical FS'!K19,0)</f>
        <v>9.1961958102532049E-2</v>
      </c>
      <c r="L14" s="40">
        <f>IFERROR('Historical FS'!L19,0)</f>
        <v>0.13595470321509878</v>
      </c>
      <c r="N14" s="40">
        <f t="shared" ref="N14:N43" si="3">IFERROR(AVERAGE(C14:L14),0)</f>
        <v>0.11038687722344567</v>
      </c>
      <c r="O14" s="40">
        <f t="shared" si="2"/>
        <v>0.10880528583980152</v>
      </c>
    </row>
    <row r="15" spans="2:15" x14ac:dyDescent="0.3">
      <c r="B15" t="s">
        <v>129</v>
      </c>
      <c r="C15" s="40">
        <f>IFERROR(('Historical FS'!C18-'Historical FS'!C24)/'Historical FS'!C6,0)</f>
        <v>9.8229670900837146E-2</v>
      </c>
      <c r="D15" s="40">
        <f>IFERROR(('Historical FS'!D18-'Historical FS'!D24)/'Historical FS'!D6,0)</f>
        <v>7.941702777851016E-2</v>
      </c>
      <c r="E15" s="40">
        <f>IFERROR(('Historical FS'!E18-'Historical FS'!E24)/'Historical FS'!E6,0)</f>
        <v>4.3322300645279484E-2</v>
      </c>
      <c r="F15" s="40">
        <f>IFERROR(('Historical FS'!F18-'Historical FS'!F24)/'Historical FS'!F6,0)</f>
        <v>3.3970412259310953E-2</v>
      </c>
      <c r="G15" s="40">
        <f>IFERROR(('Historical FS'!G18-'Historical FS'!G24)/'Historical FS'!G6,0)</f>
        <v>3.5560233478087663E-3</v>
      </c>
      <c r="H15" s="40">
        <f>IFERROR(('Historical FS'!H18-'Historical FS'!H24)/'Historical FS'!H6,0)</f>
        <v>-1.3170363258273456E-2</v>
      </c>
      <c r="I15" s="40">
        <f>IFERROR(('Historical FS'!I18-'Historical FS'!I24)/'Historical FS'!I6,0)</f>
        <v>3.4991608110258483E-2</v>
      </c>
      <c r="J15" s="40">
        <f>IFERROR(('Historical FS'!J18-'Historical FS'!J24)/'Historical FS'!J6,0)</f>
        <v>-4.1514992694289269E-4</v>
      </c>
      <c r="K15" s="40">
        <f>IFERROR(('Historical FS'!K18-'Historical FS'!K24)/'Historical FS'!K6,0)</f>
        <v>2.0104346955433228E-2</v>
      </c>
      <c r="L15" s="40">
        <f>IFERROR(('Historical FS'!L18-'Historical FS'!L24)/'Historical FS'!L6,0)</f>
        <v>7.3683863437114389E-2</v>
      </c>
      <c r="N15" s="40">
        <f t="shared" si="3"/>
        <v>3.7368974024933624E-2</v>
      </c>
      <c r="O15" s="40">
        <f t="shared" si="2"/>
        <v>3.4481010184784722E-2</v>
      </c>
    </row>
    <row r="16" spans="2:15" x14ac:dyDescent="0.3">
      <c r="B16" t="s">
        <v>130</v>
      </c>
      <c r="C16" s="40">
        <f>IFERROR('Historical FS'!C28,0)</f>
        <v>7.9756085085905037E-2</v>
      </c>
      <c r="D16" s="40">
        <f>IFERROR('Historical FS'!D28,0)</f>
        <v>6.1511300676516931E-2</v>
      </c>
      <c r="E16" s="40">
        <f>IFERROR('Historical FS'!E28,0)</f>
        <v>2.7608071132565179E-2</v>
      </c>
      <c r="F16" s="40">
        <f>IFERROR('Historical FS'!F28,0)</f>
        <v>1.7912163958707913E-2</v>
      </c>
      <c r="G16" s="40">
        <f>IFERROR('Historical FS'!G28,0)</f>
        <v>-1.5516078776333117E-2</v>
      </c>
      <c r="H16" s="40">
        <f>IFERROR('Historical FS'!H28,0)</f>
        <v>-4.0915360088026265E-2</v>
      </c>
      <c r="I16" s="40">
        <f>IFERROR('Historical FS'!I28,0)</f>
        <v>2.5763151547420113E-3</v>
      </c>
      <c r="J16" s="40">
        <f>IFERROR('Historical FS'!J28,0)</f>
        <v>-3.3856482095653805E-2</v>
      </c>
      <c r="K16" s="40">
        <f>IFERROR('Historical FS'!K28,0)</f>
        <v>-9.4518849588445895E-3</v>
      </c>
      <c r="L16" s="40">
        <f>IFERROR('Historical FS'!L28,0)</f>
        <v>5.0881564327377643E-2</v>
      </c>
      <c r="N16" s="40">
        <f t="shared" si="3"/>
        <v>1.4050569441695698E-2</v>
      </c>
      <c r="O16" s="40">
        <f t="shared" si="2"/>
        <v>1.0244239556724962E-2</v>
      </c>
    </row>
    <row r="17" spans="2:15" x14ac:dyDescent="0.3">
      <c r="B17" s="41" t="s">
        <v>131</v>
      </c>
      <c r="C17" s="42">
        <f>IFERROR('Historical FS'!C34,0)</f>
        <v>5.0713146858982282E-2</v>
      </c>
      <c r="D17" s="42">
        <f>IFERROR('Historical FS'!D34,0)</f>
        <v>5.0432381990407359E-2</v>
      </c>
      <c r="E17" s="42">
        <f>IFERROR('Historical FS'!E34,0)</f>
        <v>1.5552749314395296E-2</v>
      </c>
      <c r="F17" s="42">
        <f>IFERROR('Historical FS'!F34,0)</f>
        <v>3.01961430487095E-3</v>
      </c>
      <c r="G17" s="42">
        <f>IFERROR('Historical FS'!G34,0)</f>
        <v>-7.4434056747998256E-3</v>
      </c>
      <c r="H17" s="42">
        <f>IFERROR('Historical FS'!H34,0)</f>
        <v>-4.2429333632923408E-2</v>
      </c>
      <c r="I17" s="42">
        <f>IFERROR('Historical FS'!I34,0)</f>
        <v>-7.5994791724005731E-3</v>
      </c>
      <c r="J17" s="42">
        <f>IFERROR('Historical FS'!J34,0)</f>
        <v>-4.9052154538339235E-2</v>
      </c>
      <c r="K17" s="42">
        <f>IFERROR('Historical FS'!K34,0)</f>
        <v>-1.1486934720964945E-2</v>
      </c>
      <c r="L17" s="42">
        <f>IFERROR('Historical FS'!L34,0)</f>
        <v>5.9676713353894045E-2</v>
      </c>
      <c r="M17" s="41"/>
      <c r="N17" s="42">
        <f t="shared" si="3"/>
        <v>6.1383298083121946E-3</v>
      </c>
      <c r="O17" s="42">
        <f t="shared" si="2"/>
        <v>-2.2118956849644378E-3</v>
      </c>
    </row>
    <row r="18" spans="2:15" x14ac:dyDescent="0.3">
      <c r="N18" s="23"/>
    </row>
    <row r="19" spans="2:15" x14ac:dyDescent="0.3">
      <c r="B19" s="38" t="s">
        <v>132</v>
      </c>
      <c r="C19" s="39">
        <f>IFERROR('Historical FS'!C16,0)</f>
        <v>8.0040779911823637E-2</v>
      </c>
      <c r="D19" s="39">
        <f>IFERROR('Historical FS'!D16,0)</f>
        <v>0.10672678849247161</v>
      </c>
      <c r="E19" s="39">
        <f>IFERROR('Historical FS'!E16,0)</f>
        <v>0.12847809529452636</v>
      </c>
      <c r="F19" s="39">
        <f>IFERROR('Historical FS'!F16,0)</f>
        <v>0.10860201636437025</v>
      </c>
      <c r="G19" s="39">
        <f>IFERROR('Historical FS'!G16,0)</f>
        <v>0.11402504616835751</v>
      </c>
      <c r="H19" s="39">
        <f>IFERROR('Historical FS'!H16,0)</f>
        <v>0.12527323822987554</v>
      </c>
      <c r="I19" s="39">
        <f>IFERROR('Historical FS'!I16,0)</f>
        <v>8.8798023177028354E-2</v>
      </c>
      <c r="J19" s="39">
        <f>IFERROR('Historical FS'!J16,0)</f>
        <v>0.10929475436519734</v>
      </c>
      <c r="K19" s="39">
        <f>IFERROR('Historical FS'!K16,0)</f>
        <v>0.11488822184383672</v>
      </c>
      <c r="L19" s="39">
        <f>IFERROR('Historical FS'!L16,0)</f>
        <v>0.10010244383451636</v>
      </c>
      <c r="M19" s="38"/>
      <c r="N19" s="39">
        <f t="shared" si="3"/>
        <v>0.10762294076820036</v>
      </c>
      <c r="O19" s="39">
        <f t="shared" si="2"/>
        <v>0.1089483853647838</v>
      </c>
    </row>
    <row r="20" spans="2:15" x14ac:dyDescent="0.3">
      <c r="B20" t="s">
        <v>133</v>
      </c>
      <c r="C20" s="40">
        <f>IFERROR('Historical FS'!C25,0)</f>
        <v>5.0876584184966822E-2</v>
      </c>
      <c r="D20" s="40">
        <f>IFERROR('Historical FS'!D25,0)</f>
        <v>6.1201425695927715E-2</v>
      </c>
      <c r="E20" s="40">
        <f>IFERROR('Historical FS'!E25,0)</f>
        <v>6.63903865924938E-2</v>
      </c>
      <c r="F20" s="40">
        <f>IFERROR('Historical FS'!F25,0)</f>
        <v>7.3927472182518786E-2</v>
      </c>
      <c r="G20" s="40">
        <f>IFERROR('Historical FS'!G25,0)</f>
        <v>7.8130605447998658E-2</v>
      </c>
      <c r="H20" s="40">
        <f>IFERROR('Historical FS'!H25,0)</f>
        <v>8.206839774331566E-2</v>
      </c>
      <c r="I20" s="40">
        <f>IFERROR('Historical FS'!I25,0)</f>
        <v>9.4264230933596482E-2</v>
      </c>
      <c r="J20" s="40">
        <f>IFERROR('Historical FS'!J25,0)</f>
        <v>8.9191478279219347E-2</v>
      </c>
      <c r="K20" s="40">
        <f>IFERROR('Historical FS'!K25,0)</f>
        <v>7.1857611147098821E-2</v>
      </c>
      <c r="L20" s="40">
        <f>IFERROR('Historical FS'!L25,0)</f>
        <v>6.2270839777984394E-2</v>
      </c>
      <c r="N20" s="40">
        <f t="shared" si="3"/>
        <v>7.3017903198512063E-2</v>
      </c>
      <c r="O20" s="40">
        <f t="shared" si="2"/>
        <v>7.2892541664808796E-2</v>
      </c>
    </row>
    <row r="21" spans="2:15" x14ac:dyDescent="0.3">
      <c r="B21" s="41" t="s">
        <v>134</v>
      </c>
      <c r="C21" s="43">
        <f>C15</f>
        <v>9.8229670900837146E-2</v>
      </c>
      <c r="D21" s="43">
        <f t="shared" ref="D21:L21" si="4">D15</f>
        <v>7.941702777851016E-2</v>
      </c>
      <c r="E21" s="43">
        <f t="shared" si="4"/>
        <v>4.3322300645279484E-2</v>
      </c>
      <c r="F21" s="43">
        <f t="shared" si="4"/>
        <v>3.3970412259310953E-2</v>
      </c>
      <c r="G21" s="43">
        <f t="shared" si="4"/>
        <v>3.5560233478087663E-3</v>
      </c>
      <c r="H21" s="43">
        <f t="shared" si="4"/>
        <v>-1.3170363258273456E-2</v>
      </c>
      <c r="I21" s="43">
        <f t="shared" si="4"/>
        <v>3.4991608110258483E-2</v>
      </c>
      <c r="J21" s="43">
        <f t="shared" si="4"/>
        <v>-4.1514992694289269E-4</v>
      </c>
      <c r="K21" s="43">
        <f t="shared" si="4"/>
        <v>2.0104346955433228E-2</v>
      </c>
      <c r="L21" s="43">
        <f t="shared" si="4"/>
        <v>7.3683863437114389E-2</v>
      </c>
      <c r="M21" s="41"/>
      <c r="N21" s="42">
        <f t="shared" si="3"/>
        <v>3.7368974024933624E-2</v>
      </c>
      <c r="O21" s="42">
        <f t="shared" si="2"/>
        <v>3.4481010184784722E-2</v>
      </c>
    </row>
    <row r="22" spans="2:15" x14ac:dyDescent="0.3">
      <c r="N22" s="23"/>
    </row>
    <row r="23" spans="2:15" x14ac:dyDescent="0.3">
      <c r="B23" s="38" t="s">
        <v>135</v>
      </c>
      <c r="C23" s="39">
        <f>IFERROR(('Historical FS'!C18-'Historical FS'!C24)/(SUM('Historical FS'!C50:C52)),0)</f>
        <v>0.19904181268509033</v>
      </c>
      <c r="D23" s="39">
        <f>IFERROR(('Historical FS'!D18-'Historical FS'!D24)/(SUM('Historical FS'!D50:D52)),0)</f>
        <v>0.1462081011853561</v>
      </c>
      <c r="E23" s="39">
        <f>IFERROR(('Historical FS'!E18-'Historical FS'!E24)/(SUM('Historical FS'!E50:E52)),0)</f>
        <v>8.5490986154773282E-2</v>
      </c>
      <c r="F23" s="39">
        <f>IFERROR(('Historical FS'!F18-'Historical FS'!F24)/(SUM('Historical FS'!F50:F52)),0)</f>
        <v>5.3716113570365424E-2</v>
      </c>
      <c r="G23" s="39">
        <f>IFERROR(('Historical FS'!G18-'Historical FS'!G24)/(SUM('Historical FS'!G50:G52)),0)</f>
        <v>6.4542733637543747E-3</v>
      </c>
      <c r="H23" s="39">
        <f>IFERROR(('Historical FS'!H18-'Historical FS'!H24)/(SUM('Historical FS'!H50:H52)),0)</f>
        <v>-1.8302177555437667E-2</v>
      </c>
      <c r="I23" s="39">
        <f>IFERROR(('Historical FS'!I18-'Historical FS'!I24)/(SUM('Historical FS'!I50:I52)),0)</f>
        <v>4.4284324706251613E-2</v>
      </c>
      <c r="J23" s="39">
        <f>IFERROR(('Historical FS'!J18-'Historical FS'!J24)/(SUM('Historical FS'!J50:J52)),0)</f>
        <v>-6.0520306054739361E-4</v>
      </c>
      <c r="K23" s="39">
        <f>IFERROR(('Historical FS'!K18-'Historical FS'!K24)/(SUM('Historical FS'!K50:K52)),0)</f>
        <v>3.8762956416083731E-2</v>
      </c>
      <c r="L23" s="39">
        <f>IFERROR(('Historical FS'!L18-'Historical FS'!L24)/(SUM('Historical FS'!L50:L52)),0)</f>
        <v>0.16790572738589757</v>
      </c>
      <c r="M23" s="38"/>
      <c r="N23" s="39">
        <f t="shared" si="3"/>
        <v>7.2295691485158756E-2</v>
      </c>
      <c r="O23" s="39">
        <f t="shared" si="2"/>
        <v>4.9000219138308515E-2</v>
      </c>
    </row>
    <row r="24" spans="2:15" x14ac:dyDescent="0.3">
      <c r="B24" t="s">
        <v>136</v>
      </c>
      <c r="C24" s="40">
        <f>IFERROR('Historical FS'!C45,0)</f>
        <v>1</v>
      </c>
      <c r="D24" s="40">
        <f>IFERROR('Historical FS'!D45,0)</f>
        <v>0.99506765991253665</v>
      </c>
      <c r="E24" s="40">
        <f>IFERROR('Historical FS'!E45,0)</f>
        <v>1</v>
      </c>
      <c r="F24" s="40">
        <f>IFERROR('Historical FS'!F45,0)</f>
        <v>1</v>
      </c>
      <c r="G24" s="40">
        <f>IFERROR('Historical FS'!G45,0)</f>
        <v>0</v>
      </c>
      <c r="H24" s="40">
        <f>IFERROR('Historical FS'!H45,0)</f>
        <v>0</v>
      </c>
      <c r="I24" s="40">
        <f>IFERROR('Historical FS'!I45,0)</f>
        <v>0</v>
      </c>
      <c r="J24" s="40">
        <f>IFERROR('Historical FS'!J45,0)</f>
        <v>0</v>
      </c>
      <c r="K24" s="40">
        <f>IFERROR('Historical FS'!K45,0)</f>
        <v>0</v>
      </c>
      <c r="L24" s="40">
        <f>IFERROR('Historical FS'!L45,0)</f>
        <v>0.91201147619832956</v>
      </c>
      <c r="N24" s="40">
        <f t="shared" si="3"/>
        <v>0.49070791361108662</v>
      </c>
      <c r="O24" s="40">
        <f t="shared" si="2"/>
        <v>0.45600573809916478</v>
      </c>
    </row>
    <row r="25" spans="2:15" x14ac:dyDescent="0.3">
      <c r="B25" t="s">
        <v>137</v>
      </c>
      <c r="C25" s="40">
        <f>IFERROR('Historical FS'!C33/(SUM('Historical FS'!C50:C51)),0)</f>
        <v>0.2372052002491202</v>
      </c>
      <c r="D25" s="40">
        <f>IFERROR('Historical FS'!D33/(SUM('Historical FS'!D50:D51)),0)</f>
        <v>0.17441316864171685</v>
      </c>
      <c r="E25" s="40">
        <f>IFERROR('Historical FS'!E33/(SUM('Historical FS'!E50:E51)),0)</f>
        <v>7.2241189530689517E-2</v>
      </c>
      <c r="F25" s="40">
        <f>IFERROR('Historical FS'!F33/(SUM('Historical FS'!F50:F51)),0)</f>
        <v>9.2254980749341738E-3</v>
      </c>
      <c r="G25" s="40">
        <f>IFERROR('Historical FS'!G33/(SUM('Historical FS'!G50:G51)),0)</f>
        <v>-3.7345736658758885E-2</v>
      </c>
      <c r="H25" s="40">
        <f>IFERROR('Historical FS'!H33/(SUM('Historical FS'!H50:H51)),0)</f>
        <v>-0.17560555073176307</v>
      </c>
      <c r="I25" s="40">
        <f>IFERROR('Historical FS'!I33/(SUM('Historical FS'!I50:I51)),0)</f>
        <v>-3.4360591904822733E-2</v>
      </c>
      <c r="J25" s="40">
        <f>IFERROR('Historical FS'!J33/(SUM('Historical FS'!J50:J51)),0)</f>
        <v>-0.30651638060341208</v>
      </c>
      <c r="K25" s="40">
        <f>IFERROR('Historical FS'!K33/(SUM('Historical FS'!K50:K51)),0)</f>
        <v>-8.7686298356707396E-2</v>
      </c>
      <c r="L25" s="40">
        <f>IFERROR('Historical FS'!L33/(SUM('Historical FS'!L50:L51)),0)</f>
        <v>0.30775670464290195</v>
      </c>
      <c r="N25" s="40">
        <f t="shared" si="3"/>
        <v>1.5932720288389851E-2</v>
      </c>
      <c r="O25" s="40">
        <f t="shared" si="2"/>
        <v>-1.2567546914944279E-2</v>
      </c>
    </row>
    <row r="26" spans="2:15" x14ac:dyDescent="0.3">
      <c r="B26" t="s">
        <v>138</v>
      </c>
      <c r="C26" s="40">
        <f>IFERROR(C24*C25,0)</f>
        <v>0.2372052002491202</v>
      </c>
      <c r="D26" s="40">
        <f t="shared" ref="D26:L26" si="5">IFERROR(D24*D25,0)</f>
        <v>0.17355290357824379</v>
      </c>
      <c r="E26" s="40">
        <f t="shared" si="5"/>
        <v>7.2241189530689517E-2</v>
      </c>
      <c r="F26" s="40">
        <f t="shared" si="5"/>
        <v>9.2254980749341738E-3</v>
      </c>
      <c r="G26" s="40">
        <f t="shared" si="5"/>
        <v>0</v>
      </c>
      <c r="H26" s="40">
        <f t="shared" si="5"/>
        <v>0</v>
      </c>
      <c r="I26" s="40">
        <f t="shared" si="5"/>
        <v>0</v>
      </c>
      <c r="J26" s="40">
        <f t="shared" si="5"/>
        <v>0</v>
      </c>
      <c r="K26" s="40">
        <f t="shared" si="5"/>
        <v>0</v>
      </c>
      <c r="L26" s="40">
        <f t="shared" si="5"/>
        <v>0.28067764651130633</v>
      </c>
      <c r="N26" s="40">
        <f t="shared" si="3"/>
        <v>7.7290243794429406E-2</v>
      </c>
      <c r="O26" s="40">
        <f t="shared" si="2"/>
        <v>4.6127490374670869E-3</v>
      </c>
    </row>
    <row r="27" spans="2:15" x14ac:dyDescent="0.3">
      <c r="B27" s="41" t="s">
        <v>139</v>
      </c>
      <c r="C27" s="44">
        <f>IFERROR(('Historical FS'!C18-'Historical FS'!C24)/'Historical FS'!C21,0)</f>
        <v>5.3173039541375138</v>
      </c>
      <c r="D27" s="44">
        <f>IFERROR(('Historical FS'!D18-'Historical FS'!D24)/'Historical FS'!D21,0)</f>
        <v>4.4352863933500721</v>
      </c>
      <c r="E27" s="44">
        <f>IFERROR(('Historical FS'!E18-'Historical FS'!E24)/'Historical FS'!E21,0)</f>
        <v>2.7568835373205922</v>
      </c>
      <c r="F27" s="44">
        <f>IFERROR(('Historical FS'!F18-'Historical FS'!F24)/'Historical FS'!F21,0)</f>
        <v>2.1154494328024094</v>
      </c>
      <c r="G27" s="44">
        <f>IFERROR(('Historical FS'!G18-'Historical FS'!G24)/'Historical FS'!G21,0)</f>
        <v>0.18645156808947008</v>
      </c>
      <c r="H27" s="44">
        <f>IFERROR(('Historical FS'!H18-'Historical FS'!H24)/'Historical FS'!H21,0)</f>
        <v>-0.47469326953211261</v>
      </c>
      <c r="I27" s="44">
        <f>IFERROR(('Historical FS'!I18-'Historical FS'!I24)/'Historical FS'!I21,0)</f>
        <v>1.079478385658198</v>
      </c>
      <c r="J27" s="44">
        <f>IFERROR(('Historical FS'!J18-'Historical FS'!J24)/'Historical FS'!J21,0)</f>
        <v>-1.2414275987824557E-2</v>
      </c>
      <c r="K27" s="44">
        <f>IFERROR(('Historical FS'!K18-'Historical FS'!K24)/'Historical FS'!K21,0)</f>
        <v>0.68020669934320532</v>
      </c>
      <c r="L27" s="44">
        <f>IFERROR(('Historical FS'!L18-'Historical FS'!L24)/'Historical FS'!L21,0)</f>
        <v>3.231422545705088</v>
      </c>
      <c r="M27" s="41"/>
      <c r="N27" s="44">
        <f t="shared" si="3"/>
        <v>1.9315374970886612</v>
      </c>
      <c r="O27" s="44">
        <f t="shared" si="2"/>
        <v>1.5974639092303038</v>
      </c>
    </row>
    <row r="28" spans="2:15" x14ac:dyDescent="0.3">
      <c r="N28" s="23"/>
    </row>
    <row r="29" spans="2:15" x14ac:dyDescent="0.3">
      <c r="B29" s="38" t="s">
        <v>140</v>
      </c>
      <c r="C29" s="45">
        <f>IFERROR('Historical FS'!C6/'Historical FS'!C62,0)</f>
        <v>20.92016821419486</v>
      </c>
      <c r="D29" s="45">
        <f>IFERROR('Historical FS'!D6/'Historical FS'!D62,0)</f>
        <v>20.119918266350599</v>
      </c>
      <c r="E29" s="45">
        <f>IFERROR('Historical FS'!E6/'Historical FS'!E62,0)</f>
        <v>19.160353236640844</v>
      </c>
      <c r="F29" s="45">
        <f>IFERROR('Historical FS'!F6/'Historical FS'!F62,0)</f>
        <v>14.655712224718874</v>
      </c>
      <c r="G29" s="45">
        <f>IFERROR('Historical FS'!G6/'Historical FS'!G62,0)</f>
        <v>15.894698773489607</v>
      </c>
      <c r="H29" s="45">
        <f>IFERROR('Historical FS'!H6/'Historical FS'!H62,0)</f>
        <v>23.366617170976728</v>
      </c>
      <c r="I29" s="45">
        <f>IFERROR('Historical FS'!I6/'Historical FS'!I62,0)</f>
        <v>19.701330853658153</v>
      </c>
      <c r="J29" s="45">
        <f>IFERROR('Historical FS'!J6/'Historical FS'!J62,0)</f>
        <v>22.379917570317598</v>
      </c>
      <c r="K29" s="45">
        <f>IFERROR('Historical FS'!K6/'Historical FS'!K62,0)</f>
        <v>21.982947610142858</v>
      </c>
      <c r="L29" s="45">
        <f>IFERROR('Historical FS'!L6/'Historical FS'!L62,0)</f>
        <v>25.833687966063799</v>
      </c>
      <c r="M29" s="38"/>
      <c r="N29" s="45">
        <f t="shared" si="3"/>
        <v>20.401535188655391</v>
      </c>
      <c r="O29" s="45">
        <f t="shared" si="2"/>
        <v>20.520043240272727</v>
      </c>
    </row>
    <row r="30" spans="2:15" x14ac:dyDescent="0.3">
      <c r="B30" t="s">
        <v>141</v>
      </c>
      <c r="C30" s="46">
        <f>IFERROR('Historical FS'!C6/'Historical FS'!C53,0)</f>
        <v>2.4493010585757142</v>
      </c>
      <c r="D30" s="46">
        <f>IFERROR('Historical FS'!D6/'Historical FS'!D53,0)</f>
        <v>2.3769603927858673</v>
      </c>
      <c r="E30" s="46">
        <f>IFERROR('Historical FS'!E6/'Historical FS'!E53,0)</f>
        <v>1.9842807783040648</v>
      </c>
      <c r="F30" s="46">
        <f>IFERROR('Historical FS'!F6/'Historical FS'!F53,0)</f>
        <v>2.0414780318629697</v>
      </c>
      <c r="G30" s="46">
        <f>IFERROR('Historical FS'!G6/'Historical FS'!G53,0)</f>
        <v>2.1667847518227492</v>
      </c>
      <c r="H30" s="46">
        <f>IFERROR('Historical FS'!H6/'Historical FS'!H53,0)</f>
        <v>1.9731057108276859</v>
      </c>
      <c r="I30" s="46">
        <f>IFERROR('Historical FS'!I6/'Historical FS'!I53,0)</f>
        <v>1.7323684804395676</v>
      </c>
      <c r="J30" s="46">
        <f>IFERROR('Historical FS'!J6/'Historical FS'!J53,0)</f>
        <v>2.0170312149360217</v>
      </c>
      <c r="K30" s="46">
        <f>IFERROR('Historical FS'!K6/'Historical FS'!K53,0)</f>
        <v>2.2286057258733614</v>
      </c>
      <c r="L30" s="46">
        <f>IFERROR('Historical FS'!L6/'Historical FS'!L53,0)</f>
        <v>2.4694234112546125</v>
      </c>
      <c r="N30" s="46">
        <f t="shared" si="3"/>
        <v>2.1439339556682615</v>
      </c>
      <c r="O30" s="46">
        <f t="shared" si="2"/>
        <v>2.1041313918428592</v>
      </c>
    </row>
    <row r="31" spans="2:15" x14ac:dyDescent="0.3">
      <c r="B31" t="s">
        <v>142</v>
      </c>
      <c r="C31" s="46">
        <f>IFERROR('Historical FS'!C9/'Historical FS'!C63,0)</f>
        <v>6.9299850985606204</v>
      </c>
      <c r="D31" s="46">
        <f>IFERROR('Historical FS'!D9/'Historical FS'!D63,0)</f>
        <v>6.2932009175725057</v>
      </c>
      <c r="E31" s="46">
        <f>IFERROR('Historical FS'!E9/'Historical FS'!E63,0)</f>
        <v>5.8558479317982366</v>
      </c>
      <c r="F31" s="46">
        <f>IFERROR('Historical FS'!F9/'Historical FS'!F63,0)</f>
        <v>5.4210412403355388</v>
      </c>
      <c r="G31" s="46">
        <f>IFERROR('Historical FS'!G9/'Historical FS'!G63,0)</f>
        <v>6.2246170771161839</v>
      </c>
      <c r="H31" s="46">
        <f>IFERROR('Historical FS'!H9/'Historical FS'!H63,0)</f>
        <v>5.6164867442242938</v>
      </c>
      <c r="I31" s="46">
        <f>IFERROR('Historical FS'!I9/'Historical FS'!I63,0)</f>
        <v>5.4124043083977522</v>
      </c>
      <c r="J31" s="46">
        <f>IFERROR('Historical FS'!J9/'Historical FS'!J63,0)</f>
        <v>6.3364885242310374</v>
      </c>
      <c r="K31" s="46">
        <f>IFERROR('Historical FS'!K9/'Historical FS'!K63,0)</f>
        <v>6.73294109073671</v>
      </c>
      <c r="L31" s="46">
        <f>IFERROR('Historical FS'!L9/'Historical FS'!L63,0)</f>
        <v>7.0007064492159055</v>
      </c>
      <c r="N31" s="46">
        <f t="shared" si="3"/>
        <v>6.1823719382188793</v>
      </c>
      <c r="O31" s="46">
        <f t="shared" si="2"/>
        <v>6.2589089973443448</v>
      </c>
    </row>
    <row r="32" spans="2:15" x14ac:dyDescent="0.3">
      <c r="B32" t="s">
        <v>143</v>
      </c>
      <c r="C32" s="46">
        <f>IFERROR('Historical FS'!C6/'Historical FS'!C56,0)</f>
        <v>2.9742370802544178</v>
      </c>
      <c r="D32" s="46">
        <f>IFERROR('Historical FS'!D6/'Historical FS'!D56,0)</f>
        <v>2.546312771514708</v>
      </c>
      <c r="E32" s="46">
        <f>IFERROR('Historical FS'!E6/'Historical FS'!E56,0)</f>
        <v>2.8109343484246239</v>
      </c>
      <c r="F32" s="46">
        <f>IFERROR('Historical FS'!F6/'Historical FS'!F56,0)</f>
        <v>2.4012948768781421</v>
      </c>
      <c r="G32" s="46">
        <f>IFERROR('Historical FS'!G6/'Historical FS'!G56,0)</f>
        <v>2.7144319562092578</v>
      </c>
      <c r="H32" s="46">
        <f>IFERROR('Historical FS'!H6/'Historical FS'!H56,0)</f>
        <v>2.0539205744067566</v>
      </c>
      <c r="I32" s="46">
        <f>IFERROR('Historical FS'!I6/'Historical FS'!I56,0)</f>
        <v>1.8008727134726064</v>
      </c>
      <c r="J32" s="46">
        <f>IFERROR('Historical FS'!J6/'Historical FS'!J56,0)</f>
        <v>2.0053488717943728</v>
      </c>
      <c r="K32" s="46">
        <f>IFERROR('Historical FS'!K6/'Historical FS'!K56,0)</f>
        <v>2.6193791539294131</v>
      </c>
      <c r="L32" s="46">
        <f>IFERROR('Historical FS'!L6/'Historical FS'!L56,0)</f>
        <v>3.6107194547475023</v>
      </c>
      <c r="N32" s="46">
        <f t="shared" si="3"/>
        <v>2.5537451801631801</v>
      </c>
      <c r="O32" s="46">
        <f t="shared" si="2"/>
        <v>2.5828459627220606</v>
      </c>
    </row>
    <row r="33" spans="2:15" x14ac:dyDescent="0.3">
      <c r="B33" s="41" t="s">
        <v>144</v>
      </c>
      <c r="C33" s="44">
        <f>IFERROR('Historical FS'!C6/(SUM('Historical FS'!C50:C51)),0)</f>
        <v>4.6773906756114965</v>
      </c>
      <c r="D33" s="44">
        <f>IFERROR('Historical FS'!D6/(SUM('Historical FS'!D50:D51)),0)</f>
        <v>3.4583567493379874</v>
      </c>
      <c r="E33" s="44">
        <f>IFERROR('Historical FS'!E6/(SUM('Historical FS'!E50:E51)),0)</f>
        <v>4.6449144180459854</v>
      </c>
      <c r="F33" s="44">
        <f>IFERROR('Historical FS'!F6/(SUM('Historical FS'!F50:F51)),0)</f>
        <v>3.0551908765475422</v>
      </c>
      <c r="G33" s="44">
        <f>IFERROR('Historical FS'!G6/(SUM('Historical FS'!G50:G51)),0)</f>
        <v>5.0172915853821474</v>
      </c>
      <c r="H33" s="44">
        <f>IFERROR('Historical FS'!H6/(SUM('Historical FS'!H50:H51)),0)</f>
        <v>4.1387770133514525</v>
      </c>
      <c r="I33" s="44">
        <f>IFERROR('Historical FS'!I6/(SUM('Historical FS'!I50:I51)),0)</f>
        <v>4.5214403678625628</v>
      </c>
      <c r="J33" s="44">
        <f>IFERROR('Historical FS'!J6/(SUM('Historical FS'!J50:J51)),0)</f>
        <v>6.2487852671963351</v>
      </c>
      <c r="K33" s="44">
        <f>IFERROR('Historical FS'!K6/(SUM('Historical FS'!K50:K51)),0)</f>
        <v>7.6335680916398054</v>
      </c>
      <c r="L33" s="44">
        <f>IFERROR('Historical FS'!L6/(SUM('Historical FS'!L50:L51)),0)</f>
        <v>5.1570652495194773</v>
      </c>
      <c r="M33" s="41"/>
      <c r="N33" s="44">
        <f t="shared" si="3"/>
        <v>4.8552780294494795</v>
      </c>
      <c r="O33" s="44">
        <f t="shared" si="2"/>
        <v>4.6611525468287409</v>
      </c>
    </row>
    <row r="34" spans="2:15" x14ac:dyDescent="0.3">
      <c r="C34" s="36"/>
      <c r="D34" s="36"/>
      <c r="E34" s="36"/>
      <c r="F34" s="36"/>
      <c r="G34" s="36"/>
      <c r="H34" s="36"/>
      <c r="I34" s="36"/>
      <c r="J34" s="36"/>
      <c r="K34" s="36"/>
      <c r="L34" s="36"/>
      <c r="N34" s="23"/>
    </row>
    <row r="35" spans="2:15" x14ac:dyDescent="0.3">
      <c r="B35" s="37" t="s">
        <v>153</v>
      </c>
      <c r="N35" s="23"/>
    </row>
    <row r="36" spans="2:15" x14ac:dyDescent="0.3">
      <c r="B36" s="38" t="s">
        <v>145</v>
      </c>
      <c r="C36" s="47">
        <f>IFERROR(365/C29,0)</f>
        <v>17.447278447423685</v>
      </c>
      <c r="D36" s="47">
        <f t="shared" ref="D36:L36" si="6">IFERROR(365/D29,0)</f>
        <v>18.141226776772818</v>
      </c>
      <c r="E36" s="47">
        <f t="shared" si="6"/>
        <v>19.049753180019717</v>
      </c>
      <c r="F36" s="47">
        <f t="shared" si="6"/>
        <v>24.904964999543136</v>
      </c>
      <c r="G36" s="47">
        <f t="shared" si="6"/>
        <v>22.963631157878556</v>
      </c>
      <c r="H36" s="47">
        <f t="shared" si="6"/>
        <v>15.620575170519771</v>
      </c>
      <c r="I36" s="47">
        <f t="shared" si="6"/>
        <v>18.52666719376608</v>
      </c>
      <c r="J36" s="47">
        <f t="shared" si="6"/>
        <v>16.309264717046954</v>
      </c>
      <c r="K36" s="47">
        <f t="shared" si="6"/>
        <v>16.603778823163378</v>
      </c>
      <c r="L36" s="47">
        <f t="shared" si="6"/>
        <v>14.128838301348189</v>
      </c>
      <c r="M36" s="50"/>
      <c r="N36" s="51">
        <f t="shared" si="3"/>
        <v>18.369597876748227</v>
      </c>
      <c r="O36" s="51">
        <f t="shared" ref="O36:O43" si="7">IFERROR(MEDIAN(C36:L36),0)</f>
        <v>17.794252612098251</v>
      </c>
    </row>
    <row r="37" spans="2:15" x14ac:dyDescent="0.3">
      <c r="B37" t="s">
        <v>146</v>
      </c>
      <c r="C37" s="48">
        <f>IFERROR(365/C30,0)</f>
        <v>149.02210519283818</v>
      </c>
      <c r="D37" s="48">
        <f t="shared" ref="D37:L37" si="8">IFERROR(365/D30,0)</f>
        <v>153.55745981623585</v>
      </c>
      <c r="E37" s="48">
        <f t="shared" si="8"/>
        <v>183.94574194885871</v>
      </c>
      <c r="F37" s="48">
        <f t="shared" si="8"/>
        <v>178.79202925682029</v>
      </c>
      <c r="G37" s="48">
        <f t="shared" si="8"/>
        <v>168.45235766633192</v>
      </c>
      <c r="H37" s="48">
        <f t="shared" si="8"/>
        <v>184.98755439052903</v>
      </c>
      <c r="I37" s="48">
        <f t="shared" si="8"/>
        <v>210.69420514242194</v>
      </c>
      <c r="J37" s="48">
        <f t="shared" si="8"/>
        <v>180.95902398395825</v>
      </c>
      <c r="K37" s="48">
        <f t="shared" si="8"/>
        <v>163.77953074537726</v>
      </c>
      <c r="L37" s="48">
        <f t="shared" si="8"/>
        <v>147.8077831191203</v>
      </c>
      <c r="N37" s="48">
        <f t="shared" si="3"/>
        <v>172.19977912624921</v>
      </c>
      <c r="O37" s="48">
        <f t="shared" si="7"/>
        <v>173.6221934615761</v>
      </c>
    </row>
    <row r="38" spans="2:15" x14ac:dyDescent="0.3">
      <c r="B38" t="s">
        <v>147</v>
      </c>
      <c r="C38" s="48">
        <f>IFERROR(365/C31,0)</f>
        <v>52.66966592407416</v>
      </c>
      <c r="D38" s="48">
        <f t="shared" ref="D38:L38" si="9">IFERROR(365/D31,0)</f>
        <v>57.999101694149068</v>
      </c>
      <c r="E38" s="48">
        <f t="shared" si="9"/>
        <v>62.330853575959303</v>
      </c>
      <c r="F38" s="48">
        <f t="shared" si="9"/>
        <v>67.330238568229021</v>
      </c>
      <c r="G38" s="48">
        <f t="shared" si="9"/>
        <v>58.638145202837379</v>
      </c>
      <c r="H38" s="48">
        <f t="shared" si="9"/>
        <v>64.987244984660066</v>
      </c>
      <c r="I38" s="48">
        <f t="shared" si="9"/>
        <v>67.437681888190625</v>
      </c>
      <c r="J38" s="48">
        <f t="shared" si="9"/>
        <v>57.602881880748683</v>
      </c>
      <c r="K38" s="48">
        <f t="shared" si="9"/>
        <v>54.211078796185063</v>
      </c>
      <c r="L38" s="48">
        <f t="shared" si="9"/>
        <v>52.137595348092447</v>
      </c>
      <c r="N38" s="48">
        <f t="shared" si="3"/>
        <v>59.534448786312581</v>
      </c>
      <c r="O38" s="48">
        <f t="shared" si="7"/>
        <v>58.318623448493227</v>
      </c>
    </row>
    <row r="39" spans="2:15" x14ac:dyDescent="0.3">
      <c r="B39" s="41" t="s">
        <v>148</v>
      </c>
      <c r="C39" s="49">
        <f>IFERROR(SUM(C36,C38)-C37,0)</f>
        <v>-78.905160821340331</v>
      </c>
      <c r="D39" s="49">
        <f t="shared" ref="D39:L39" si="10">IFERROR(SUM(D36,D38)-D37,0)</f>
        <v>-77.417131345313962</v>
      </c>
      <c r="E39" s="49">
        <f t="shared" si="10"/>
        <v>-102.56513519287969</v>
      </c>
      <c r="F39" s="49">
        <f t="shared" si="10"/>
        <v>-86.556825689048125</v>
      </c>
      <c r="G39" s="49">
        <f t="shared" si="10"/>
        <v>-86.850581305615989</v>
      </c>
      <c r="H39" s="49">
        <f t="shared" si="10"/>
        <v>-104.37973423534919</v>
      </c>
      <c r="I39" s="49">
        <f t="shared" si="10"/>
        <v>-124.72985606046524</v>
      </c>
      <c r="J39" s="49">
        <f t="shared" si="10"/>
        <v>-107.04687738616261</v>
      </c>
      <c r="K39" s="49">
        <f t="shared" si="10"/>
        <v>-92.964673126028813</v>
      </c>
      <c r="L39" s="49">
        <f t="shared" si="10"/>
        <v>-81.541349469679659</v>
      </c>
      <c r="M39" s="52"/>
      <c r="N39" s="53">
        <f t="shared" si="3"/>
        <v>-94.295732463188358</v>
      </c>
      <c r="O39" s="53">
        <f>IFERROR(MEDIAN(C39:L39),0)</f>
        <v>-89.907627215822401</v>
      </c>
    </row>
    <row r="40" spans="2:15" x14ac:dyDescent="0.3">
      <c r="N40" s="23"/>
    </row>
    <row r="41" spans="2:15" x14ac:dyDescent="0.3">
      <c r="B41" s="38" t="s">
        <v>149</v>
      </c>
      <c r="C41" s="39">
        <f>IFERROR('Historical FS'!C81/'Historical FS'!C6,0)</f>
        <v>0.12106750071762705</v>
      </c>
      <c r="D41" s="39">
        <f>IFERROR('Historical FS'!D81/'Historical FS'!D6,0)</f>
        <v>0.14360971207739662</v>
      </c>
      <c r="E41" s="39">
        <f>IFERROR('Historical FS'!E81/'Historical FS'!E6,0)</f>
        <v>0.12404497255040564</v>
      </c>
      <c r="F41" s="39">
        <f>IFERROR('Historical FS'!F81/'Historical FS'!F6,0)</f>
        <v>5.9759805574664121E-2</v>
      </c>
      <c r="G41" s="39">
        <f>IFERROR('Historical FS'!G81/'Historical FS'!G6,0)</f>
        <v>3.8653579670555313E-2</v>
      </c>
      <c r="H41" s="39">
        <f>IFERROR('Historical FS'!H81/'Historical FS'!H6,0)</f>
        <v>0.12141665635964458</v>
      </c>
      <c r="I41" s="39">
        <f>IFERROR('Historical FS'!I81/'Historical FS'!I6,0)</f>
        <v>0.11572300859005244</v>
      </c>
      <c r="J41" s="39">
        <f>IFERROR('Historical FS'!J81/'Historical FS'!J6,0)</f>
        <v>1.2684338598291522E-2</v>
      </c>
      <c r="K41" s="39">
        <f>IFERROR('Historical FS'!K81/'Historical FS'!K6,0)</f>
        <v>9.3248786148573667E-2</v>
      </c>
      <c r="L41" s="39">
        <f>IFERROR('Historical FS'!L81/'Historical FS'!L6,0)</f>
        <v>0.17181143821959496</v>
      </c>
      <c r="M41" s="50"/>
      <c r="N41" s="54">
        <f t="shared" si="3"/>
        <v>0.10020197985068061</v>
      </c>
      <c r="O41" s="54">
        <f t="shared" si="7"/>
        <v>0.11839525465383974</v>
      </c>
    </row>
    <row r="42" spans="2:15" x14ac:dyDescent="0.3">
      <c r="B42" t="s">
        <v>150</v>
      </c>
      <c r="C42" s="40">
        <f>IFERROR('Historical FS'!C81/'Historical FS'!C67,0)</f>
        <v>0.1342520624188657</v>
      </c>
      <c r="D42" s="40">
        <f>IFERROR('Historical FS'!D81/'Historical FS'!D67,0)</f>
        <v>0.14899075217760099</v>
      </c>
      <c r="E42" s="40">
        <f>IFERROR('Historical FS'!E81/'Historical FS'!E67,0)</f>
        <v>0.12273077928285075</v>
      </c>
      <c r="F42" s="40">
        <f>IFERROR('Historical FS'!F81/'Historical FS'!F67,0)</f>
        <v>5.3250110386320486E-2</v>
      </c>
      <c r="G42" s="40">
        <f>IFERROR('Historical FS'!G81/'Historical FS'!G67,0)</f>
        <v>3.8177516390146542E-2</v>
      </c>
      <c r="H42" s="40">
        <f>IFERROR('Historical FS'!H81/'Historical FS'!H67,0)</f>
        <v>9.9000750797857404E-2</v>
      </c>
      <c r="I42" s="40">
        <f>IFERROR('Historical FS'!I81/'Historical FS'!I67,0)</f>
        <v>8.4629819997903213E-2</v>
      </c>
      <c r="J42" s="40">
        <f>IFERROR('Historical FS'!J81/'Historical FS'!J67,0)</f>
        <v>1.073355621163692E-2</v>
      </c>
      <c r="K42" s="40">
        <f>IFERROR('Historical FS'!K81/'Historical FS'!K67,0)</f>
        <v>9.639517425935408E-2</v>
      </c>
      <c r="L42" s="40">
        <f>IFERROR('Historical FS'!L81/'Historical FS'!L67,0)</f>
        <v>0.2036178712738107</v>
      </c>
      <c r="N42" s="40">
        <f t="shared" si="3"/>
        <v>9.9177839319634684E-2</v>
      </c>
      <c r="O42" s="40">
        <f t="shared" si="7"/>
        <v>9.7697962528605742E-2</v>
      </c>
    </row>
    <row r="43" spans="2:15" x14ac:dyDescent="0.3">
      <c r="B43" s="41" t="s">
        <v>151</v>
      </c>
      <c r="C43" s="42">
        <f>IFERROR('Historical FS'!C81/'Historical FS'!C52,0)</f>
        <v>0.43281933433581865</v>
      </c>
      <c r="D43" s="42">
        <f>IFERROR('Historical FS'!D81/'Historical FS'!D52,0)</f>
        <v>0.56534057978118779</v>
      </c>
      <c r="E43" s="42">
        <f>IFERROR('Historical FS'!E81/'Historical FS'!E52,0)</f>
        <v>0.42560185883717339</v>
      </c>
      <c r="F43" s="42">
        <f>IFERROR('Historical FS'!F81/'Historical FS'!F52,0)</f>
        <v>0.19587305159826587</v>
      </c>
      <c r="G43" s="42">
        <f>IFERROR('Historical FS'!G81/'Historical FS'!G52,0)</f>
        <v>0.1099219460940742</v>
      </c>
      <c r="H43" s="42">
        <f>IFERROR('Historical FS'!H81/'Historical FS'!H52,0)</f>
        <v>0.25401554192386361</v>
      </c>
      <c r="I43" s="42">
        <f>IFERROR('Historical FS'!I81/'Historical FS'!I52,0)</f>
        <v>0.20338341005738594</v>
      </c>
      <c r="J43" s="42">
        <f>IFERROR('Historical FS'!J81/'Historical FS'!J52,0)</f>
        <v>2.4117605968438302E-2</v>
      </c>
      <c r="K43" s="42">
        <f>IFERROR('Historical FS'!K81/'Historical FS'!K52,0)</f>
        <v>0.24055008953614193</v>
      </c>
      <c r="L43" s="42">
        <f>IFERROR('Historical FS'!L81/'Historical FS'!L52,0)</f>
        <v>0.70146602960027971</v>
      </c>
      <c r="M43" s="52"/>
      <c r="N43" s="55">
        <f t="shared" si="3"/>
        <v>0.31530894477326293</v>
      </c>
      <c r="O43" s="55">
        <f t="shared" si="7"/>
        <v>0.24728281573000277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1FB792F5-17F5-417B-BCA5-21D43EFE1228}">
          <x14:colorSeries rgb="FF376092"/>
          <x14:colorNegative rgb="FFD00000"/>
          <x14:colorAxis rgb="FF000000"/>
          <x14:colorMarkers theme="4" tint="0.39997558519241921"/>
          <x14:colorFirst rgb="FFD00000"/>
          <x14:colorLast rgb="FFD00000"/>
          <x14:colorHigh rgb="FFD00000"/>
          <x14:colorLow rgb="FFD00000"/>
          <x14:sparklines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</x14:sparklines>
        </x14:sparklineGroup>
        <x14:sparklineGroup displayEmptyCellsAs="gap" markers="1" xr2:uid="{293D86D3-771C-4FE5-9223-D515C4A7D57D}">
          <x14:colorSeries rgb="FF376092"/>
          <x14:colorNegative rgb="FFD00000"/>
          <x14:colorAxis rgb="FF000000"/>
          <x14:colorMarkers theme="4" tint="0.39997558519241921"/>
          <x14:colorFirst rgb="FFD00000"/>
          <x14:colorLast rgb="FFD00000"/>
          <x14:colorHigh rgb="FFD00000"/>
          <x14:colorLow rgb="FFD00000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287F-23DE-446D-9729-5C8C4B3038AF}">
  <dimension ref="B2:O69"/>
  <sheetViews>
    <sheetView showGridLines="0" zoomScale="95" workbookViewId="0">
      <pane ySplit="2" topLeftCell="A3" activePane="bottomLeft" state="frozen"/>
      <selection pane="bottomLeft" activeCell="B43" sqref="B43"/>
    </sheetView>
  </sheetViews>
  <sheetFormatPr defaultRowHeight="14.4" x14ac:dyDescent="0.3"/>
  <cols>
    <col min="1" max="1" width="1.88671875" customWidth="1"/>
    <col min="2" max="2" width="25.88671875" customWidth="1"/>
  </cols>
  <sheetData>
    <row r="2" spans="2:15" x14ac:dyDescent="0.3">
      <c r="B2" s="8" t="s">
        <v>160</v>
      </c>
      <c r="C2" s="9">
        <v>41334</v>
      </c>
      <c r="D2" s="9">
        <v>41699</v>
      </c>
      <c r="E2" s="9">
        <v>42064</v>
      </c>
      <c r="F2" s="9">
        <v>42430</v>
      </c>
      <c r="G2" s="9">
        <v>42795</v>
      </c>
      <c r="H2" s="9">
        <v>43160</v>
      </c>
      <c r="I2" s="9">
        <v>43525</v>
      </c>
      <c r="J2" s="9">
        <v>43891</v>
      </c>
      <c r="K2" s="9">
        <v>44256</v>
      </c>
      <c r="L2" s="9">
        <v>44621</v>
      </c>
      <c r="M2" s="9">
        <v>44986</v>
      </c>
      <c r="N2" s="9">
        <v>45352</v>
      </c>
      <c r="O2" s="76"/>
    </row>
    <row r="3" spans="2:15" x14ac:dyDescent="0.3"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x14ac:dyDescent="0.3">
      <c r="B4" s="142" t="s">
        <v>162</v>
      </c>
      <c r="C4" s="68">
        <v>96</v>
      </c>
      <c r="D4" s="68">
        <v>96</v>
      </c>
      <c r="E4" s="68">
        <v>96</v>
      </c>
      <c r="F4" s="68">
        <v>96</v>
      </c>
      <c r="G4" s="68">
        <v>96</v>
      </c>
      <c r="H4" s="68">
        <v>96</v>
      </c>
      <c r="I4" s="68">
        <v>96</v>
      </c>
      <c r="J4" s="68">
        <v>96</v>
      </c>
      <c r="K4" s="68">
        <v>96</v>
      </c>
      <c r="L4" s="68">
        <v>96</v>
      </c>
      <c r="M4" s="68">
        <v>96</v>
      </c>
      <c r="N4" s="68">
        <v>96</v>
      </c>
      <c r="O4" s="71"/>
    </row>
    <row r="5" spans="2:15" x14ac:dyDescent="0.3">
      <c r="B5" s="142" t="s">
        <v>32</v>
      </c>
      <c r="C5" s="68">
        <v>3288</v>
      </c>
      <c r="D5" s="68">
        <v>3943</v>
      </c>
      <c r="E5" s="68">
        <v>4646</v>
      </c>
      <c r="F5" s="68">
        <v>6429</v>
      </c>
      <c r="G5" s="68">
        <v>7508</v>
      </c>
      <c r="H5" s="68">
        <v>8314</v>
      </c>
      <c r="I5" s="68">
        <v>9375</v>
      </c>
      <c r="J5" s="68">
        <v>10034</v>
      </c>
      <c r="K5" s="68">
        <v>12710</v>
      </c>
      <c r="L5" s="68">
        <v>13716</v>
      </c>
      <c r="M5" s="68">
        <v>15896</v>
      </c>
      <c r="N5" s="68">
        <v>18632</v>
      </c>
      <c r="O5" s="71"/>
    </row>
    <row r="6" spans="2:15" x14ac:dyDescent="0.3">
      <c r="B6" s="142" t="s">
        <v>241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71"/>
    </row>
    <row r="7" spans="2:15" x14ac:dyDescent="0.3">
      <c r="B7" s="143" t="s">
        <v>163</v>
      </c>
      <c r="C7" s="68">
        <v>47</v>
      </c>
      <c r="D7" s="68">
        <v>41</v>
      </c>
      <c r="E7" s="68">
        <v>78</v>
      </c>
      <c r="F7" s="68">
        <v>73</v>
      </c>
      <c r="G7" s="68">
        <v>41</v>
      </c>
      <c r="H7" s="68">
        <v>28</v>
      </c>
      <c r="I7" s="68">
        <v>19</v>
      </c>
      <c r="J7" s="68">
        <v>19</v>
      </c>
      <c r="K7" s="68">
        <v>15</v>
      </c>
      <c r="L7" s="68">
        <v>45</v>
      </c>
      <c r="M7" s="68">
        <v>76</v>
      </c>
      <c r="N7" s="68">
        <v>54</v>
      </c>
      <c r="O7" s="71"/>
    </row>
    <row r="8" spans="2:15" x14ac:dyDescent="0.3">
      <c r="B8" s="143" t="s">
        <v>164</v>
      </c>
      <c r="C8" s="68">
        <v>190</v>
      </c>
      <c r="D8" s="68">
        <v>199</v>
      </c>
      <c r="E8" s="68">
        <v>332</v>
      </c>
      <c r="F8" s="68">
        <v>231</v>
      </c>
      <c r="G8" s="68">
        <v>504</v>
      </c>
      <c r="H8" s="68">
        <v>492</v>
      </c>
      <c r="I8" s="68">
        <v>597</v>
      </c>
      <c r="J8" s="68">
        <v>321</v>
      </c>
      <c r="K8" s="68">
        <v>334</v>
      </c>
      <c r="L8" s="68">
        <v>731</v>
      </c>
      <c r="M8" s="68">
        <v>896</v>
      </c>
      <c r="N8" s="68">
        <v>1053</v>
      </c>
      <c r="O8" s="71"/>
    </row>
    <row r="9" spans="2:15" x14ac:dyDescent="0.3">
      <c r="B9" s="143" t="s">
        <v>165</v>
      </c>
      <c r="C9" s="68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693</v>
      </c>
      <c r="J9" s="68">
        <v>764</v>
      </c>
      <c r="K9" s="68">
        <v>745</v>
      </c>
      <c r="L9" s="68">
        <v>811</v>
      </c>
      <c r="M9" s="68">
        <v>960</v>
      </c>
      <c r="N9" s="68">
        <v>1367</v>
      </c>
      <c r="O9" s="71"/>
    </row>
    <row r="10" spans="2:15" x14ac:dyDescent="0.3">
      <c r="B10" s="143" t="s">
        <v>166</v>
      </c>
      <c r="C10" s="68">
        <v>14</v>
      </c>
      <c r="D10" s="68">
        <v>9</v>
      </c>
      <c r="E10" s="68">
        <v>8</v>
      </c>
      <c r="F10" s="68">
        <v>20</v>
      </c>
      <c r="G10" s="68">
        <v>15</v>
      </c>
      <c r="H10" s="68">
        <v>13</v>
      </c>
      <c r="I10" s="68">
        <v>11</v>
      </c>
      <c r="J10" s="68">
        <v>15</v>
      </c>
      <c r="K10" s="68">
        <v>0</v>
      </c>
      <c r="L10" s="68">
        <v>0</v>
      </c>
      <c r="M10" s="68">
        <v>0</v>
      </c>
      <c r="N10" s="68">
        <v>0</v>
      </c>
      <c r="O10" s="71"/>
    </row>
    <row r="11" spans="2:15" x14ac:dyDescent="0.3">
      <c r="B11" s="142" t="s">
        <v>167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71"/>
    </row>
    <row r="12" spans="2:15" x14ac:dyDescent="0.3">
      <c r="B12" s="143" t="s">
        <v>168</v>
      </c>
      <c r="C12" s="68">
        <v>161</v>
      </c>
      <c r="D12" s="68">
        <v>246</v>
      </c>
      <c r="E12" s="68">
        <v>264</v>
      </c>
      <c r="F12" s="68">
        <v>384</v>
      </c>
      <c r="G12" s="68">
        <v>375</v>
      </c>
      <c r="H12" s="68">
        <v>328</v>
      </c>
      <c r="I12" s="68">
        <v>361</v>
      </c>
      <c r="J12" s="68">
        <v>404</v>
      </c>
      <c r="K12" s="68">
        <v>423</v>
      </c>
      <c r="L12" s="68">
        <v>388</v>
      </c>
      <c r="M12" s="68">
        <v>454</v>
      </c>
      <c r="N12" s="68">
        <v>695</v>
      </c>
      <c r="O12" s="71"/>
    </row>
    <row r="13" spans="2:15" x14ac:dyDescent="0.3">
      <c r="B13" s="143" t="s">
        <v>169</v>
      </c>
      <c r="C13" s="68">
        <v>1442</v>
      </c>
      <c r="D13" s="68">
        <v>1746</v>
      </c>
      <c r="E13" s="68">
        <v>1549</v>
      </c>
      <c r="F13" s="68">
        <v>1565</v>
      </c>
      <c r="G13" s="68">
        <v>1923</v>
      </c>
      <c r="H13" s="68">
        <v>2160</v>
      </c>
      <c r="I13" s="68">
        <v>2394</v>
      </c>
      <c r="J13" s="68">
        <v>2137</v>
      </c>
      <c r="K13" s="68">
        <v>3379</v>
      </c>
      <c r="L13" s="68">
        <v>4164</v>
      </c>
      <c r="M13" s="68">
        <v>3635</v>
      </c>
      <c r="N13" s="68">
        <v>3831</v>
      </c>
      <c r="O13" s="71"/>
    </row>
    <row r="14" spans="2:15" x14ac:dyDescent="0.3">
      <c r="B14" s="143" t="s">
        <v>170</v>
      </c>
      <c r="C14" s="68">
        <v>0</v>
      </c>
      <c r="D14" s="68">
        <v>0</v>
      </c>
      <c r="E14" s="68">
        <v>5</v>
      </c>
      <c r="F14" s="68">
        <v>12</v>
      </c>
      <c r="G14" s="68">
        <v>17</v>
      </c>
      <c r="H14" s="68">
        <v>16</v>
      </c>
      <c r="I14" s="68">
        <v>13</v>
      </c>
      <c r="J14" s="68">
        <v>29</v>
      </c>
      <c r="K14" s="68">
        <v>41</v>
      </c>
      <c r="L14" s="68">
        <v>76</v>
      </c>
      <c r="M14" s="68">
        <v>108</v>
      </c>
      <c r="N14" s="68">
        <v>154</v>
      </c>
      <c r="O14" s="71"/>
    </row>
    <row r="15" spans="2:15" x14ac:dyDescent="0.3">
      <c r="B15" s="143" t="s">
        <v>171</v>
      </c>
      <c r="C15" s="68">
        <v>1547</v>
      </c>
      <c r="D15" s="68">
        <v>1795</v>
      </c>
      <c r="E15" s="68">
        <v>1937</v>
      </c>
      <c r="F15" s="68">
        <v>1750</v>
      </c>
      <c r="G15" s="68">
        <v>1925</v>
      </c>
      <c r="H15" s="68">
        <v>2316</v>
      </c>
      <c r="I15" s="68">
        <v>2690</v>
      </c>
      <c r="J15" s="68">
        <v>2320</v>
      </c>
      <c r="K15" s="68">
        <v>2613</v>
      </c>
      <c r="L15" s="68">
        <v>2932</v>
      </c>
      <c r="M15" s="68">
        <v>3657</v>
      </c>
      <c r="N15" s="68">
        <v>4017</v>
      </c>
      <c r="O15" s="71"/>
    </row>
    <row r="16" spans="2:15" x14ac:dyDescent="0.3">
      <c r="B16" s="144" t="s">
        <v>82</v>
      </c>
      <c r="C16" s="69">
        <v>6784</v>
      </c>
      <c r="D16" s="69">
        <v>8075</v>
      </c>
      <c r="E16" s="69">
        <v>8914</v>
      </c>
      <c r="F16" s="69">
        <v>10559</v>
      </c>
      <c r="G16" s="69">
        <v>12405</v>
      </c>
      <c r="H16" s="69">
        <v>13763</v>
      </c>
      <c r="I16" s="69">
        <v>16249</v>
      </c>
      <c r="J16" s="69">
        <v>16138</v>
      </c>
      <c r="K16" s="69">
        <v>20355</v>
      </c>
      <c r="L16" s="69">
        <v>22958</v>
      </c>
      <c r="M16" s="69">
        <v>25779</v>
      </c>
      <c r="N16" s="69">
        <v>29901</v>
      </c>
      <c r="O16" s="70"/>
    </row>
    <row r="17" spans="2:15" x14ac:dyDescent="0.3">
      <c r="B17" s="25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2:15" x14ac:dyDescent="0.3">
      <c r="B18" s="25" t="s">
        <v>172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</row>
    <row r="19" spans="2:15" x14ac:dyDescent="0.3">
      <c r="B19" s="143" t="s">
        <v>173</v>
      </c>
      <c r="C19" s="72">
        <v>238</v>
      </c>
      <c r="D19" s="72">
        <v>247</v>
      </c>
      <c r="E19" s="72">
        <v>251</v>
      </c>
      <c r="F19" s="72">
        <v>429</v>
      </c>
      <c r="G19" s="72">
        <v>408</v>
      </c>
      <c r="H19" s="72">
        <v>586</v>
      </c>
      <c r="I19" s="72">
        <v>605</v>
      </c>
      <c r="J19" s="72">
        <v>640</v>
      </c>
      <c r="K19" s="72">
        <v>644</v>
      </c>
      <c r="L19" s="72">
        <v>644</v>
      </c>
      <c r="M19" s="72">
        <v>804</v>
      </c>
      <c r="N19" s="72">
        <v>1126</v>
      </c>
      <c r="O19" s="71"/>
    </row>
    <row r="20" spans="2:15" x14ac:dyDescent="0.3">
      <c r="B20" s="143" t="s">
        <v>174</v>
      </c>
      <c r="C20" s="72">
        <v>874</v>
      </c>
      <c r="D20" s="72">
        <v>931</v>
      </c>
      <c r="E20" s="72">
        <v>962</v>
      </c>
      <c r="F20" s="72">
        <v>923</v>
      </c>
      <c r="G20" s="72">
        <v>931</v>
      </c>
      <c r="H20" s="72">
        <v>957</v>
      </c>
      <c r="I20" s="72">
        <v>2402</v>
      </c>
      <c r="J20" s="72">
        <v>2257</v>
      </c>
      <c r="K20" s="72">
        <v>2249</v>
      </c>
      <c r="L20" s="72">
        <v>2325</v>
      </c>
      <c r="M20" s="72">
        <v>2883</v>
      </c>
      <c r="N20" s="72">
        <v>3390</v>
      </c>
      <c r="O20" s="71"/>
    </row>
    <row r="21" spans="2:15" x14ac:dyDescent="0.3">
      <c r="B21" s="143" t="s">
        <v>175</v>
      </c>
      <c r="C21" s="72">
        <v>1956</v>
      </c>
      <c r="D21" s="72">
        <v>2054</v>
      </c>
      <c r="E21" s="72">
        <v>2132</v>
      </c>
      <c r="F21" s="72">
        <v>1793</v>
      </c>
      <c r="G21" s="72">
        <v>1980</v>
      </c>
      <c r="H21" s="72">
        <v>2157</v>
      </c>
      <c r="I21" s="72">
        <v>4006</v>
      </c>
      <c r="J21" s="72">
        <v>4208</v>
      </c>
      <c r="K21" s="72">
        <v>4340</v>
      </c>
      <c r="L21" s="72">
        <v>4531</v>
      </c>
      <c r="M21" s="72">
        <v>4825</v>
      </c>
      <c r="N21" s="72">
        <v>5422</v>
      </c>
      <c r="O21" s="71"/>
    </row>
    <row r="22" spans="2:15" x14ac:dyDescent="0.3">
      <c r="B22" s="143" t="s">
        <v>176</v>
      </c>
      <c r="C22" s="72">
        <v>137</v>
      </c>
      <c r="D22" s="72">
        <v>155</v>
      </c>
      <c r="E22" s="72">
        <v>171</v>
      </c>
      <c r="F22" s="72">
        <v>97</v>
      </c>
      <c r="G22" s="72">
        <v>119</v>
      </c>
      <c r="H22" s="72">
        <v>200</v>
      </c>
      <c r="I22" s="72">
        <v>221</v>
      </c>
      <c r="J22" s="72">
        <v>241</v>
      </c>
      <c r="K22" s="72">
        <v>243</v>
      </c>
      <c r="L22" s="72">
        <v>253</v>
      </c>
      <c r="M22" s="72">
        <v>270</v>
      </c>
      <c r="N22" s="72">
        <v>298</v>
      </c>
      <c r="O22" s="71"/>
    </row>
    <row r="23" spans="2:15" x14ac:dyDescent="0.3">
      <c r="B23" s="143" t="s">
        <v>177</v>
      </c>
      <c r="C23" s="72">
        <v>57</v>
      </c>
      <c r="D23" s="72">
        <v>71</v>
      </c>
      <c r="E23" s="72">
        <v>83</v>
      </c>
      <c r="F23" s="72">
        <v>49</v>
      </c>
      <c r="G23" s="72">
        <v>59</v>
      </c>
      <c r="H23" s="72">
        <v>72</v>
      </c>
      <c r="I23" s="72">
        <v>88</v>
      </c>
      <c r="J23" s="72">
        <v>94</v>
      </c>
      <c r="K23" s="72">
        <v>99</v>
      </c>
      <c r="L23" s="72">
        <v>113</v>
      </c>
      <c r="M23" s="72">
        <v>146</v>
      </c>
      <c r="N23" s="72">
        <v>175</v>
      </c>
      <c r="O23" s="71"/>
    </row>
    <row r="24" spans="2:15" x14ac:dyDescent="0.3">
      <c r="B24" s="143" t="s">
        <v>178</v>
      </c>
      <c r="C24" s="72">
        <v>11</v>
      </c>
      <c r="D24" s="72">
        <v>14</v>
      </c>
      <c r="E24" s="72">
        <v>18</v>
      </c>
      <c r="F24" s="72">
        <v>11</v>
      </c>
      <c r="G24" s="72">
        <v>14</v>
      </c>
      <c r="H24" s="72">
        <v>27</v>
      </c>
      <c r="I24" s="72">
        <v>47</v>
      </c>
      <c r="J24" s="72">
        <v>43</v>
      </c>
      <c r="K24" s="72">
        <v>38</v>
      </c>
      <c r="L24" s="72">
        <v>32</v>
      </c>
      <c r="M24" s="72">
        <v>36</v>
      </c>
      <c r="N24" s="72">
        <v>40</v>
      </c>
      <c r="O24" s="71"/>
    </row>
    <row r="25" spans="2:15" x14ac:dyDescent="0.3">
      <c r="B25" s="143" t="s">
        <v>179</v>
      </c>
      <c r="C25" s="72">
        <v>57</v>
      </c>
      <c r="D25" s="72">
        <v>203</v>
      </c>
      <c r="E25" s="72">
        <v>351</v>
      </c>
      <c r="F25" s="72">
        <v>339</v>
      </c>
      <c r="G25" s="72">
        <v>276</v>
      </c>
      <c r="H25" s="72">
        <v>468</v>
      </c>
      <c r="I25" s="72">
        <v>512</v>
      </c>
      <c r="J25" s="72">
        <v>505</v>
      </c>
      <c r="K25" s="72">
        <v>476</v>
      </c>
      <c r="L25" s="72">
        <v>345</v>
      </c>
      <c r="M25" s="72">
        <v>422</v>
      </c>
      <c r="N25" s="72">
        <v>850</v>
      </c>
      <c r="O25" s="71"/>
    </row>
    <row r="26" spans="2:15" x14ac:dyDescent="0.3">
      <c r="B26" s="143" t="s">
        <v>180</v>
      </c>
      <c r="C26" s="72">
        <v>99</v>
      </c>
      <c r="D26" s="72">
        <v>128</v>
      </c>
      <c r="E26" s="72">
        <v>145</v>
      </c>
      <c r="F26" s="72">
        <v>103</v>
      </c>
      <c r="G26" s="72">
        <v>128</v>
      </c>
      <c r="H26" s="72">
        <v>238</v>
      </c>
      <c r="I26" s="72">
        <v>261</v>
      </c>
      <c r="J26" s="72">
        <v>293</v>
      </c>
      <c r="K26" s="72">
        <v>302</v>
      </c>
      <c r="L26" s="72">
        <v>294</v>
      </c>
      <c r="M26" s="72">
        <v>289</v>
      </c>
      <c r="N26" s="72">
        <v>321</v>
      </c>
      <c r="O26" s="71"/>
    </row>
    <row r="27" spans="2:15" x14ac:dyDescent="0.3">
      <c r="B27" s="143" t="s">
        <v>181</v>
      </c>
      <c r="C27" s="72">
        <v>3429</v>
      </c>
      <c r="D27" s="72">
        <v>3804</v>
      </c>
      <c r="E27" s="72">
        <v>4112</v>
      </c>
      <c r="F27" s="72">
        <v>3744</v>
      </c>
      <c r="G27" s="72">
        <v>3914</v>
      </c>
      <c r="H27" s="72">
        <v>4705</v>
      </c>
      <c r="I27" s="72">
        <v>8141</v>
      </c>
      <c r="J27" s="72">
        <v>8282</v>
      </c>
      <c r="K27" s="72">
        <v>8392</v>
      </c>
      <c r="L27" s="72">
        <v>8538</v>
      </c>
      <c r="M27" s="72">
        <v>9676</v>
      </c>
      <c r="N27" s="72">
        <v>11622</v>
      </c>
      <c r="O27" s="71"/>
    </row>
    <row r="28" spans="2:15" x14ac:dyDescent="0.3">
      <c r="B28" s="142" t="s">
        <v>182</v>
      </c>
      <c r="C28" s="74">
        <v>979</v>
      </c>
      <c r="D28" s="74">
        <v>1223</v>
      </c>
      <c r="E28" s="74">
        <v>1438</v>
      </c>
      <c r="F28" s="74">
        <v>275</v>
      </c>
      <c r="G28" s="74">
        <v>610</v>
      </c>
      <c r="H28" s="74">
        <v>973</v>
      </c>
      <c r="I28" s="74">
        <v>1592</v>
      </c>
      <c r="J28" s="74">
        <v>2010</v>
      </c>
      <c r="K28" s="74">
        <v>2533</v>
      </c>
      <c r="L28" s="74">
        <v>3019</v>
      </c>
      <c r="M28" s="74">
        <v>3814</v>
      </c>
      <c r="N28" s="74">
        <v>4381</v>
      </c>
      <c r="O28" s="71"/>
    </row>
    <row r="29" spans="2:15" x14ac:dyDescent="0.3">
      <c r="B29" s="142" t="s">
        <v>36</v>
      </c>
      <c r="C29" s="74">
        <f>C27-C28</f>
        <v>2450</v>
      </c>
      <c r="D29" s="74">
        <f t="shared" ref="D29:N29" si="0">D27-D28</f>
        <v>2581</v>
      </c>
      <c r="E29" s="74">
        <f t="shared" si="0"/>
        <v>2674</v>
      </c>
      <c r="F29" s="74">
        <f t="shared" si="0"/>
        <v>3469</v>
      </c>
      <c r="G29" s="74">
        <f t="shared" si="0"/>
        <v>3304</v>
      </c>
      <c r="H29" s="74">
        <f t="shared" si="0"/>
        <v>3732</v>
      </c>
      <c r="I29" s="74">
        <f t="shared" si="0"/>
        <v>6549</v>
      </c>
      <c r="J29" s="74">
        <f t="shared" si="0"/>
        <v>6272</v>
      </c>
      <c r="K29" s="74">
        <f t="shared" si="0"/>
        <v>5859</v>
      </c>
      <c r="L29" s="74">
        <f t="shared" si="0"/>
        <v>5519</v>
      </c>
      <c r="M29" s="74">
        <f t="shared" si="0"/>
        <v>5862</v>
      </c>
      <c r="N29" s="74">
        <f t="shared" si="0"/>
        <v>7241</v>
      </c>
      <c r="O29" s="71"/>
    </row>
    <row r="30" spans="2:15" x14ac:dyDescent="0.3">
      <c r="B30" s="142" t="s">
        <v>183</v>
      </c>
      <c r="C30" s="74">
        <v>59</v>
      </c>
      <c r="D30" s="74">
        <v>72</v>
      </c>
      <c r="E30" s="74">
        <v>196</v>
      </c>
      <c r="F30" s="74">
        <v>107</v>
      </c>
      <c r="G30" s="74">
        <v>258</v>
      </c>
      <c r="H30" s="74">
        <v>1405</v>
      </c>
      <c r="I30" s="74">
        <v>210</v>
      </c>
      <c r="J30" s="74">
        <v>140</v>
      </c>
      <c r="K30" s="74">
        <v>183</v>
      </c>
      <c r="L30" s="74">
        <v>426</v>
      </c>
      <c r="M30" s="74">
        <v>1020</v>
      </c>
      <c r="N30" s="74">
        <v>2698</v>
      </c>
      <c r="O30" s="70"/>
    </row>
    <row r="31" spans="2:15" x14ac:dyDescent="0.3">
      <c r="B31" s="142" t="s">
        <v>38</v>
      </c>
      <c r="C31" s="74">
        <v>296</v>
      </c>
      <c r="D31" s="74">
        <v>1424</v>
      </c>
      <c r="E31" s="74">
        <v>1588</v>
      </c>
      <c r="F31" s="74">
        <v>2712</v>
      </c>
      <c r="G31" s="74">
        <v>2652</v>
      </c>
      <c r="H31" s="74">
        <v>2141</v>
      </c>
      <c r="I31" s="74">
        <v>2569</v>
      </c>
      <c r="J31" s="74">
        <v>2019</v>
      </c>
      <c r="K31" s="74">
        <v>4737</v>
      </c>
      <c r="L31" s="74">
        <v>3248</v>
      </c>
      <c r="M31" s="74">
        <v>4262</v>
      </c>
      <c r="N31" s="74">
        <v>4588</v>
      </c>
      <c r="O31" s="70"/>
    </row>
    <row r="32" spans="2:15" x14ac:dyDescent="0.3">
      <c r="B32" s="142" t="s">
        <v>237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1"/>
    </row>
    <row r="33" spans="2:15" x14ac:dyDescent="0.3">
      <c r="B33" s="143" t="s">
        <v>184</v>
      </c>
      <c r="C33" s="72">
        <v>1830</v>
      </c>
      <c r="D33" s="72">
        <v>2070</v>
      </c>
      <c r="E33" s="72">
        <v>2259</v>
      </c>
      <c r="F33" s="72">
        <v>1998</v>
      </c>
      <c r="G33" s="72">
        <v>2627</v>
      </c>
      <c r="H33" s="72">
        <v>2658</v>
      </c>
      <c r="I33" s="72">
        <v>3150</v>
      </c>
      <c r="J33" s="72">
        <v>3390</v>
      </c>
      <c r="K33" s="72">
        <v>3799</v>
      </c>
      <c r="L33" s="72">
        <v>6153</v>
      </c>
      <c r="M33" s="72">
        <v>6211</v>
      </c>
      <c r="N33" s="72">
        <v>5923</v>
      </c>
      <c r="O33" s="71"/>
    </row>
    <row r="34" spans="2:15" x14ac:dyDescent="0.3">
      <c r="B34" s="143" t="s">
        <v>185</v>
      </c>
      <c r="C34" s="72">
        <v>981</v>
      </c>
      <c r="D34" s="72">
        <v>1110</v>
      </c>
      <c r="E34" s="72">
        <v>1182</v>
      </c>
      <c r="F34" s="72">
        <v>1187</v>
      </c>
      <c r="G34" s="72">
        <v>1447</v>
      </c>
      <c r="H34" s="72">
        <v>1731</v>
      </c>
      <c r="I34" s="72">
        <v>1907</v>
      </c>
      <c r="J34" s="72">
        <v>1795</v>
      </c>
      <c r="K34" s="72">
        <v>2602</v>
      </c>
      <c r="L34" s="72">
        <v>3871</v>
      </c>
      <c r="M34" s="72">
        <v>4637</v>
      </c>
      <c r="N34" s="72">
        <v>4889</v>
      </c>
      <c r="O34" s="71"/>
    </row>
    <row r="35" spans="2:15" x14ac:dyDescent="0.3">
      <c r="B35" s="143" t="s">
        <v>186</v>
      </c>
      <c r="C35" s="72">
        <v>737</v>
      </c>
      <c r="D35" s="72">
        <v>229</v>
      </c>
      <c r="E35" s="72">
        <v>204</v>
      </c>
      <c r="F35" s="72">
        <v>424</v>
      </c>
      <c r="G35" s="72">
        <v>801</v>
      </c>
      <c r="H35" s="72">
        <v>405</v>
      </c>
      <c r="I35" s="72">
        <v>445</v>
      </c>
      <c r="J35" s="72">
        <v>783</v>
      </c>
      <c r="K35" s="72">
        <v>611</v>
      </c>
      <c r="L35" s="72">
        <v>864</v>
      </c>
      <c r="M35" s="72">
        <v>844</v>
      </c>
      <c r="N35" s="72">
        <v>1084</v>
      </c>
      <c r="O35" s="71"/>
    </row>
    <row r="36" spans="2:15" x14ac:dyDescent="0.3">
      <c r="B36" s="143" t="s">
        <v>187</v>
      </c>
      <c r="C36" s="72">
        <v>4</v>
      </c>
      <c r="D36" s="72">
        <v>7</v>
      </c>
      <c r="E36" s="72">
        <v>8</v>
      </c>
      <c r="F36" s="72">
        <v>9</v>
      </c>
      <c r="G36" s="72">
        <v>14</v>
      </c>
      <c r="H36" s="72">
        <v>13</v>
      </c>
      <c r="I36" s="72">
        <v>16</v>
      </c>
      <c r="J36" s="72">
        <v>12</v>
      </c>
      <c r="K36" s="72">
        <v>11</v>
      </c>
      <c r="L36" s="72">
        <v>8</v>
      </c>
      <c r="M36" s="72">
        <v>12</v>
      </c>
      <c r="N36" s="72">
        <v>17</v>
      </c>
      <c r="O36" s="71"/>
    </row>
    <row r="37" spans="2:15" x14ac:dyDescent="0.3">
      <c r="B37" s="143" t="s">
        <v>188</v>
      </c>
      <c r="C37" s="72">
        <v>437</v>
      </c>
      <c r="D37" s="72">
        <v>603</v>
      </c>
      <c r="E37" s="72">
        <v>817</v>
      </c>
      <c r="F37" s="72">
        <v>705</v>
      </c>
      <c r="G37" s="72">
        <v>1303</v>
      </c>
      <c r="H37" s="72">
        <v>1678</v>
      </c>
      <c r="I37" s="72">
        <v>1456</v>
      </c>
      <c r="J37" s="72">
        <v>1727</v>
      </c>
      <c r="K37" s="72">
        <v>2555</v>
      </c>
      <c r="L37" s="72">
        <v>2869</v>
      </c>
      <c r="M37" s="72">
        <v>3024</v>
      </c>
      <c r="N37" s="72">
        <v>3555</v>
      </c>
      <c r="O37" s="71"/>
    </row>
    <row r="38" spans="2:15" x14ac:dyDescent="0.3">
      <c r="B38" s="145" t="s">
        <v>86</v>
      </c>
      <c r="C38" s="73">
        <v>6784</v>
      </c>
      <c r="D38" s="73">
        <v>8075</v>
      </c>
      <c r="E38" s="73">
        <v>8914</v>
      </c>
      <c r="F38" s="73">
        <v>10559</v>
      </c>
      <c r="G38" s="73">
        <v>12405</v>
      </c>
      <c r="H38" s="73">
        <v>13763</v>
      </c>
      <c r="I38" s="73">
        <v>16249</v>
      </c>
      <c r="J38" s="73">
        <v>16138</v>
      </c>
      <c r="K38" s="73">
        <v>20355</v>
      </c>
      <c r="L38" s="73">
        <v>22958</v>
      </c>
      <c r="M38" s="73">
        <v>25779</v>
      </c>
      <c r="N38" s="73">
        <v>29901</v>
      </c>
      <c r="O38" s="70"/>
    </row>
    <row r="41" spans="2:15" x14ac:dyDescent="0.3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spans="2:15" x14ac:dyDescent="0.3">
      <c r="B42" s="146" t="s">
        <v>238</v>
      </c>
      <c r="C42" s="139">
        <v>1187</v>
      </c>
      <c r="D42" s="139">
        <v>1402</v>
      </c>
      <c r="E42" s="139">
        <v>1188</v>
      </c>
      <c r="F42" s="139">
        <v>2243</v>
      </c>
      <c r="G42" s="139">
        <v>1527</v>
      </c>
      <c r="H42" s="139">
        <v>2113</v>
      </c>
      <c r="I42" s="139">
        <v>2470</v>
      </c>
      <c r="J42" s="139">
        <v>3038</v>
      </c>
      <c r="K42" s="139">
        <v>3683</v>
      </c>
      <c r="L42" s="139">
        <v>986</v>
      </c>
      <c r="M42" s="139">
        <v>4193</v>
      </c>
      <c r="N42" s="139">
        <v>6104</v>
      </c>
    </row>
    <row r="43" spans="2:15" x14ac:dyDescent="0.3">
      <c r="B43" s="143" t="s">
        <v>89</v>
      </c>
      <c r="C43" s="138">
        <v>1784</v>
      </c>
      <c r="D43" s="138">
        <v>2051</v>
      </c>
      <c r="E43" s="138">
        <v>2271</v>
      </c>
      <c r="F43" s="138">
        <v>2848</v>
      </c>
      <c r="G43" s="138">
        <v>3056</v>
      </c>
      <c r="H43" s="138">
        <v>3274</v>
      </c>
      <c r="I43" s="138">
        <v>3861</v>
      </c>
      <c r="J43" s="138">
        <v>4380</v>
      </c>
      <c r="K43" s="138">
        <v>4970</v>
      </c>
      <c r="L43" s="138">
        <v>4957</v>
      </c>
      <c r="M43" s="138">
        <v>6460</v>
      </c>
      <c r="N43" s="138">
        <v>7929</v>
      </c>
    </row>
    <row r="44" spans="2:15" x14ac:dyDescent="0.3">
      <c r="B44" s="143" t="s">
        <v>40</v>
      </c>
      <c r="C44" s="138">
        <v>-299</v>
      </c>
      <c r="D44" s="138">
        <v>-254</v>
      </c>
      <c r="E44" s="138">
        <v>-155</v>
      </c>
      <c r="F44" s="138">
        <v>-146</v>
      </c>
      <c r="G44" s="138">
        <v>-475</v>
      </c>
      <c r="H44" s="138">
        <v>-483</v>
      </c>
      <c r="I44" s="138">
        <v>-205</v>
      </c>
      <c r="J44" s="138">
        <v>160</v>
      </c>
      <c r="K44" s="138">
        <v>-849</v>
      </c>
      <c r="L44" s="138">
        <v>-1326</v>
      </c>
      <c r="M44" s="138">
        <v>-834</v>
      </c>
      <c r="N44" s="138">
        <v>-362</v>
      </c>
    </row>
    <row r="45" spans="2:15" x14ac:dyDescent="0.3">
      <c r="B45" s="143" t="s">
        <v>41</v>
      </c>
      <c r="C45" s="138">
        <v>-247</v>
      </c>
      <c r="D45" s="138">
        <v>-231</v>
      </c>
      <c r="E45" s="138">
        <v>-144</v>
      </c>
      <c r="F45" s="138">
        <v>202</v>
      </c>
      <c r="G45" s="138">
        <v>-629</v>
      </c>
      <c r="H45" s="138">
        <v>-39</v>
      </c>
      <c r="I45" s="138">
        <v>-492</v>
      </c>
      <c r="J45" s="138">
        <v>-251</v>
      </c>
      <c r="K45" s="138">
        <v>-409</v>
      </c>
      <c r="L45" s="138">
        <v>-2354</v>
      </c>
      <c r="M45" s="138">
        <v>-56</v>
      </c>
      <c r="N45" s="138">
        <v>315</v>
      </c>
    </row>
    <row r="46" spans="2:15" x14ac:dyDescent="0.3">
      <c r="B46" s="143" t="s">
        <v>90</v>
      </c>
      <c r="C46" s="138">
        <v>388</v>
      </c>
      <c r="D46" s="138">
        <v>317</v>
      </c>
      <c r="E46" s="138">
        <v>-151</v>
      </c>
      <c r="F46" s="138">
        <v>142</v>
      </c>
      <c r="G46" s="138">
        <v>501</v>
      </c>
      <c r="H46" s="138">
        <v>442</v>
      </c>
      <c r="I46" s="138">
        <v>287</v>
      </c>
      <c r="J46" s="138">
        <v>-241</v>
      </c>
      <c r="K46" s="138">
        <v>1143</v>
      </c>
      <c r="L46" s="138">
        <v>644</v>
      </c>
      <c r="M46" s="138">
        <v>-539</v>
      </c>
      <c r="N46" s="138">
        <v>269</v>
      </c>
    </row>
    <row r="47" spans="2:15" x14ac:dyDescent="0.3">
      <c r="B47" s="143" t="s">
        <v>92</v>
      </c>
      <c r="C47" s="138">
        <v>0</v>
      </c>
      <c r="D47" s="138">
        <v>0</v>
      </c>
      <c r="E47" s="138">
        <v>0</v>
      </c>
      <c r="F47" s="138">
        <v>0</v>
      </c>
      <c r="G47" s="138">
        <v>0</v>
      </c>
      <c r="H47" s="138">
        <v>0</v>
      </c>
      <c r="I47" s="138">
        <v>0</v>
      </c>
      <c r="J47" s="138">
        <v>0</v>
      </c>
      <c r="K47" s="138">
        <v>-92</v>
      </c>
      <c r="L47" s="138">
        <v>242</v>
      </c>
      <c r="M47" s="138">
        <v>657</v>
      </c>
      <c r="N47" s="138">
        <v>-212</v>
      </c>
    </row>
    <row r="48" spans="2:15" x14ac:dyDescent="0.3">
      <c r="B48" s="143" t="s">
        <v>93</v>
      </c>
      <c r="C48" s="138">
        <v>-159</v>
      </c>
      <c r="D48" s="138">
        <v>-168</v>
      </c>
      <c r="E48" s="138">
        <v>-450</v>
      </c>
      <c r="F48" s="138">
        <v>198</v>
      </c>
      <c r="G48" s="138">
        <v>-603</v>
      </c>
      <c r="H48" s="138">
        <v>-80</v>
      </c>
      <c r="I48" s="138">
        <v>-410</v>
      </c>
      <c r="J48" s="138">
        <v>-331</v>
      </c>
      <c r="K48" s="138">
        <v>-206</v>
      </c>
      <c r="L48" s="138">
        <v>-2795</v>
      </c>
      <c r="M48" s="138">
        <v>-772</v>
      </c>
      <c r="N48" s="138">
        <v>10</v>
      </c>
    </row>
    <row r="49" spans="2:14" x14ac:dyDescent="0.3">
      <c r="B49" s="143" t="s">
        <v>94</v>
      </c>
      <c r="C49" s="138">
        <v>-438</v>
      </c>
      <c r="D49" s="138">
        <v>-480</v>
      </c>
      <c r="E49" s="138">
        <v>-633</v>
      </c>
      <c r="F49" s="138">
        <v>-802</v>
      </c>
      <c r="G49" s="138">
        <v>-925</v>
      </c>
      <c r="H49" s="138">
        <v>-1081</v>
      </c>
      <c r="I49" s="138">
        <v>-982</v>
      </c>
      <c r="J49" s="138">
        <v>-1011</v>
      </c>
      <c r="K49" s="138">
        <v>-1080</v>
      </c>
      <c r="L49" s="138">
        <v>-1176</v>
      </c>
      <c r="M49" s="138">
        <v>-1494</v>
      </c>
      <c r="N49" s="138">
        <v>-1835</v>
      </c>
    </row>
    <row r="50" spans="2:14" x14ac:dyDescent="0.3">
      <c r="B50" s="146" t="s">
        <v>239</v>
      </c>
      <c r="C50" s="139">
        <v>-463</v>
      </c>
      <c r="D50" s="139">
        <v>-586</v>
      </c>
      <c r="E50" s="139">
        <v>-465</v>
      </c>
      <c r="F50" s="139">
        <v>-866</v>
      </c>
      <c r="G50" s="139">
        <v>-681</v>
      </c>
      <c r="H50" s="139">
        <v>-1556</v>
      </c>
      <c r="I50" s="139">
        <v>-918</v>
      </c>
      <c r="J50" s="139">
        <v>-518</v>
      </c>
      <c r="K50" s="139">
        <v>-541</v>
      </c>
      <c r="L50" s="139">
        <v>-317</v>
      </c>
      <c r="M50" s="139">
        <v>-1282</v>
      </c>
      <c r="N50" s="139">
        <v>-2548</v>
      </c>
    </row>
    <row r="51" spans="2:14" x14ac:dyDescent="0.3">
      <c r="B51" s="143" t="s">
        <v>96</v>
      </c>
      <c r="C51" s="138">
        <v>-644</v>
      </c>
      <c r="D51" s="138">
        <v>-251</v>
      </c>
      <c r="E51" s="138">
        <v>-454</v>
      </c>
      <c r="F51" s="138">
        <v>-817</v>
      </c>
      <c r="G51" s="138">
        <v>-684</v>
      </c>
      <c r="H51" s="138">
        <v>-1426</v>
      </c>
      <c r="I51" s="138">
        <v>-1151</v>
      </c>
      <c r="J51" s="138">
        <v>-404</v>
      </c>
      <c r="K51" s="138">
        <v>-282</v>
      </c>
      <c r="L51" s="138">
        <v>-551</v>
      </c>
      <c r="M51" s="138">
        <v>-1446</v>
      </c>
      <c r="N51" s="138">
        <v>-2496</v>
      </c>
    </row>
    <row r="52" spans="2:14" x14ac:dyDescent="0.3">
      <c r="B52" s="143" t="s">
        <v>97</v>
      </c>
      <c r="C52" s="138">
        <v>7</v>
      </c>
      <c r="D52" s="138">
        <v>16</v>
      </c>
      <c r="E52" s="138">
        <v>16</v>
      </c>
      <c r="F52" s="138">
        <v>15</v>
      </c>
      <c r="G52" s="138">
        <v>17</v>
      </c>
      <c r="H52" s="138">
        <v>17</v>
      </c>
      <c r="I52" s="138">
        <v>17</v>
      </c>
      <c r="J52" s="138">
        <v>37</v>
      </c>
      <c r="K52" s="138">
        <v>28</v>
      </c>
      <c r="L52" s="138">
        <v>40</v>
      </c>
      <c r="M52" s="138">
        <v>26</v>
      </c>
      <c r="N52" s="138">
        <v>5</v>
      </c>
    </row>
    <row r="53" spans="2:14" x14ac:dyDescent="0.3">
      <c r="B53" s="143" t="s">
        <v>98</v>
      </c>
      <c r="C53" s="138">
        <v>-247</v>
      </c>
      <c r="D53" s="138">
        <v>-872</v>
      </c>
      <c r="E53" s="138">
        <v>-243</v>
      </c>
      <c r="F53" s="138">
        <v>-282</v>
      </c>
      <c r="G53" s="138">
        <v>-153</v>
      </c>
      <c r="H53" s="138">
        <v>-320</v>
      </c>
      <c r="I53" s="138">
        <v>-573</v>
      </c>
      <c r="J53" s="138">
        <v>-25</v>
      </c>
      <c r="K53" s="138">
        <v>-140</v>
      </c>
      <c r="L53" s="138">
        <v>0</v>
      </c>
      <c r="M53" s="138">
        <v>-146</v>
      </c>
      <c r="N53" s="138">
        <v>-212</v>
      </c>
    </row>
    <row r="54" spans="2:14" x14ac:dyDescent="0.3">
      <c r="B54" s="143" t="s">
        <v>99</v>
      </c>
      <c r="C54" s="138">
        <v>330</v>
      </c>
      <c r="D54" s="138">
        <v>463</v>
      </c>
      <c r="E54" s="138">
        <v>278</v>
      </c>
      <c r="F54" s="138">
        <v>205</v>
      </c>
      <c r="G54" s="138">
        <v>357</v>
      </c>
      <c r="H54" s="138">
        <v>362</v>
      </c>
      <c r="I54" s="138">
        <v>733</v>
      </c>
      <c r="J54" s="138">
        <v>134</v>
      </c>
      <c r="K54" s="138">
        <v>272</v>
      </c>
      <c r="L54" s="138">
        <v>207</v>
      </c>
      <c r="M54" s="138">
        <v>446</v>
      </c>
      <c r="N54" s="138">
        <v>240</v>
      </c>
    </row>
    <row r="55" spans="2:14" x14ac:dyDescent="0.3">
      <c r="B55" s="143" t="s">
        <v>100</v>
      </c>
      <c r="C55" s="138">
        <v>11</v>
      </c>
      <c r="D55" s="138">
        <v>14</v>
      </c>
      <c r="E55" s="138">
        <v>11</v>
      </c>
      <c r="F55" s="138">
        <v>15</v>
      </c>
      <c r="G55" s="138">
        <v>32</v>
      </c>
      <c r="H55" s="138">
        <v>39</v>
      </c>
      <c r="I55" s="138">
        <v>40</v>
      </c>
      <c r="J55" s="138">
        <v>65</v>
      </c>
      <c r="K55" s="138">
        <v>73</v>
      </c>
      <c r="L55" s="138">
        <v>77</v>
      </c>
      <c r="M55" s="138">
        <v>87</v>
      </c>
      <c r="N55" s="138">
        <v>135</v>
      </c>
    </row>
    <row r="56" spans="2:14" x14ac:dyDescent="0.3">
      <c r="B56" s="143" t="s">
        <v>101</v>
      </c>
      <c r="C56" s="138">
        <v>33</v>
      </c>
      <c r="D56" s="138">
        <v>65</v>
      </c>
      <c r="E56" s="138">
        <v>71</v>
      </c>
      <c r="F56" s="138">
        <v>69</v>
      </c>
      <c r="G56" s="138">
        <v>74</v>
      </c>
      <c r="H56" s="138">
        <v>38</v>
      </c>
      <c r="I56" s="138">
        <v>40</v>
      </c>
      <c r="J56" s="138">
        <v>27</v>
      </c>
      <c r="K56" s="138">
        <v>8</v>
      </c>
      <c r="L56" s="138">
        <v>15</v>
      </c>
      <c r="M56" s="138">
        <v>56</v>
      </c>
      <c r="N56" s="138">
        <v>129</v>
      </c>
    </row>
    <row r="57" spans="2:14" x14ac:dyDescent="0.3">
      <c r="B57" s="143" t="s">
        <v>102</v>
      </c>
      <c r="C57" s="138">
        <v>0</v>
      </c>
      <c r="D57" s="138">
        <v>0</v>
      </c>
      <c r="E57" s="138">
        <v>0</v>
      </c>
      <c r="F57" s="138">
        <v>0</v>
      </c>
      <c r="G57" s="138">
        <v>0</v>
      </c>
      <c r="H57" s="138">
        <v>0</v>
      </c>
      <c r="I57" s="138">
        <v>0</v>
      </c>
      <c r="J57" s="138">
        <v>0</v>
      </c>
      <c r="K57" s="138">
        <v>0</v>
      </c>
      <c r="L57" s="138">
        <v>0</v>
      </c>
      <c r="M57" s="138">
        <v>-180</v>
      </c>
      <c r="N57" s="138">
        <v>0</v>
      </c>
    </row>
    <row r="58" spans="2:14" x14ac:dyDescent="0.3">
      <c r="B58" s="143" t="s">
        <v>103</v>
      </c>
      <c r="C58" s="138">
        <v>0</v>
      </c>
      <c r="D58" s="138">
        <v>0</v>
      </c>
      <c r="E58" s="138">
        <v>0</v>
      </c>
      <c r="F58" s="138">
        <v>0</v>
      </c>
      <c r="G58" s="138">
        <v>0</v>
      </c>
      <c r="H58" s="138">
        <v>141</v>
      </c>
      <c r="I58" s="138">
        <v>0</v>
      </c>
      <c r="J58" s="138">
        <v>0</v>
      </c>
      <c r="K58" s="138">
        <v>0</v>
      </c>
      <c r="L58" s="138">
        <v>0</v>
      </c>
      <c r="M58" s="138">
        <v>0</v>
      </c>
      <c r="N58" s="138">
        <v>0</v>
      </c>
    </row>
    <row r="59" spans="2:14" x14ac:dyDescent="0.3">
      <c r="B59" s="143" t="s">
        <v>104</v>
      </c>
      <c r="C59" s="138">
        <v>0</v>
      </c>
      <c r="D59" s="138">
        <v>0</v>
      </c>
      <c r="E59" s="138">
        <v>0</v>
      </c>
      <c r="F59" s="138">
        <v>0</v>
      </c>
      <c r="G59" s="138">
        <v>0</v>
      </c>
      <c r="H59" s="138">
        <v>-525</v>
      </c>
      <c r="I59" s="138">
        <v>0</v>
      </c>
      <c r="J59" s="138">
        <v>0</v>
      </c>
      <c r="K59" s="138">
        <v>0</v>
      </c>
      <c r="L59" s="138">
        <v>0</v>
      </c>
      <c r="M59" s="138">
        <v>0</v>
      </c>
      <c r="N59" s="138">
        <v>0</v>
      </c>
    </row>
    <row r="60" spans="2:14" x14ac:dyDescent="0.3">
      <c r="B60" s="143" t="s">
        <v>106</v>
      </c>
      <c r="C60" s="138">
        <v>46</v>
      </c>
      <c r="D60" s="138">
        <v>-21</v>
      </c>
      <c r="E60" s="138">
        <v>-144</v>
      </c>
      <c r="F60" s="138">
        <v>-70</v>
      </c>
      <c r="G60" s="138">
        <v>-324</v>
      </c>
      <c r="H60" s="138">
        <v>118</v>
      </c>
      <c r="I60" s="138">
        <v>-24</v>
      </c>
      <c r="J60" s="138">
        <v>-353</v>
      </c>
      <c r="K60" s="138">
        <v>-500</v>
      </c>
      <c r="L60" s="138">
        <v>-105</v>
      </c>
      <c r="M60" s="138">
        <v>-126</v>
      </c>
      <c r="N60" s="138">
        <v>-350</v>
      </c>
    </row>
    <row r="61" spans="2:14" x14ac:dyDescent="0.3">
      <c r="B61" s="146" t="s">
        <v>240</v>
      </c>
      <c r="C61" s="140">
        <v>-601</v>
      </c>
      <c r="D61" s="140">
        <v>-626</v>
      </c>
      <c r="E61" s="140">
        <v>-576</v>
      </c>
      <c r="F61" s="140">
        <v>-849</v>
      </c>
      <c r="G61" s="140">
        <v>-756</v>
      </c>
      <c r="H61" s="140">
        <v>-1379</v>
      </c>
      <c r="I61" s="140">
        <v>-1117</v>
      </c>
      <c r="J61" s="140">
        <v>-2871</v>
      </c>
      <c r="K61" s="140">
        <v>-650</v>
      </c>
      <c r="L61" s="140">
        <v>-1808</v>
      </c>
      <c r="M61" s="140">
        <v>-2140</v>
      </c>
      <c r="N61" s="140">
        <v>-2982</v>
      </c>
    </row>
    <row r="62" spans="2:14" x14ac:dyDescent="0.3">
      <c r="B62" s="143" t="s">
        <v>108</v>
      </c>
      <c r="C62" s="138">
        <v>0</v>
      </c>
      <c r="D62" s="138">
        <v>0</v>
      </c>
      <c r="E62" s="138">
        <v>0</v>
      </c>
      <c r="F62" s="138">
        <v>0</v>
      </c>
      <c r="G62" s="138">
        <v>0</v>
      </c>
      <c r="H62" s="138">
        <v>0</v>
      </c>
      <c r="I62" s="138">
        <v>0</v>
      </c>
      <c r="J62" s="138">
        <v>0</v>
      </c>
      <c r="K62" s="138">
        <v>0</v>
      </c>
      <c r="L62" s="138">
        <v>0</v>
      </c>
      <c r="M62" s="138">
        <v>0</v>
      </c>
      <c r="N62" s="138">
        <v>1</v>
      </c>
    </row>
    <row r="63" spans="2:14" x14ac:dyDescent="0.3">
      <c r="B63" s="143" t="s">
        <v>110</v>
      </c>
      <c r="C63" s="138">
        <v>33</v>
      </c>
      <c r="D63" s="138">
        <v>44</v>
      </c>
      <c r="E63" s="138">
        <v>239</v>
      </c>
      <c r="F63" s="138">
        <v>8</v>
      </c>
      <c r="G63" s="138">
        <v>271</v>
      </c>
      <c r="H63" s="138">
        <v>10</v>
      </c>
      <c r="I63" s="138">
        <v>243</v>
      </c>
      <c r="J63" s="138">
        <v>18</v>
      </c>
      <c r="K63" s="138">
        <v>155</v>
      </c>
      <c r="L63" s="138">
        <v>418</v>
      </c>
      <c r="M63" s="138">
        <v>254</v>
      </c>
      <c r="N63" s="138">
        <v>101</v>
      </c>
    </row>
    <row r="64" spans="2:14" x14ac:dyDescent="0.3">
      <c r="B64" s="143" t="s">
        <v>111</v>
      </c>
      <c r="C64" s="138">
        <v>-135</v>
      </c>
      <c r="D64" s="138">
        <v>-81</v>
      </c>
      <c r="E64" s="138">
        <v>-86</v>
      </c>
      <c r="F64" s="138">
        <v>-119</v>
      </c>
      <c r="G64" s="138">
        <v>-58</v>
      </c>
      <c r="H64" s="138">
        <v>-54</v>
      </c>
      <c r="I64" s="138">
        <v>-26</v>
      </c>
      <c r="J64" s="138">
        <v>-279</v>
      </c>
      <c r="K64" s="138">
        <v>-14</v>
      </c>
      <c r="L64" s="138">
        <v>-8</v>
      </c>
      <c r="M64" s="138">
        <v>-25</v>
      </c>
      <c r="N64" s="138">
        <v>-98</v>
      </c>
    </row>
    <row r="65" spans="2:14" x14ac:dyDescent="0.3">
      <c r="B65" s="143" t="s">
        <v>112</v>
      </c>
      <c r="C65" s="138">
        <v>-37</v>
      </c>
      <c r="D65" s="138">
        <v>-42</v>
      </c>
      <c r="E65" s="138">
        <v>-35</v>
      </c>
      <c r="F65" s="138">
        <v>-40</v>
      </c>
      <c r="G65" s="138">
        <v>-36</v>
      </c>
      <c r="H65" s="138">
        <v>-35</v>
      </c>
      <c r="I65" s="138">
        <v>-106</v>
      </c>
      <c r="J65" s="138">
        <v>-101</v>
      </c>
      <c r="K65" s="138">
        <v>-89</v>
      </c>
      <c r="L65" s="138">
        <v>-94</v>
      </c>
      <c r="M65" s="138">
        <v>-142</v>
      </c>
      <c r="N65" s="138">
        <v>-191</v>
      </c>
    </row>
    <row r="66" spans="2:14" x14ac:dyDescent="0.3">
      <c r="B66" s="143" t="s">
        <v>113</v>
      </c>
      <c r="C66" s="138">
        <v>-462</v>
      </c>
      <c r="D66" s="138">
        <v>-547</v>
      </c>
      <c r="E66" s="138">
        <v>-695</v>
      </c>
      <c r="F66" s="138">
        <v>-764</v>
      </c>
      <c r="G66" s="138">
        <v>-947</v>
      </c>
      <c r="H66" s="138">
        <v>-1218</v>
      </c>
      <c r="I66" s="138">
        <v>-1049</v>
      </c>
      <c r="J66" s="138">
        <v>-2121</v>
      </c>
      <c r="K66" s="138">
        <v>-499</v>
      </c>
      <c r="L66" s="138">
        <v>-1763</v>
      </c>
      <c r="M66" s="138">
        <v>-1936</v>
      </c>
      <c r="N66" s="138">
        <v>-2551</v>
      </c>
    </row>
    <row r="67" spans="2:14" x14ac:dyDescent="0.3">
      <c r="B67" s="143" t="s">
        <v>114</v>
      </c>
      <c r="C67" s="138">
        <v>0</v>
      </c>
      <c r="D67" s="138">
        <v>0</v>
      </c>
      <c r="E67" s="138">
        <v>0</v>
      </c>
      <c r="F67" s="138">
        <v>0</v>
      </c>
      <c r="G67" s="138">
        <v>0</v>
      </c>
      <c r="H67" s="138">
        <v>0</v>
      </c>
      <c r="I67" s="138">
        <v>-180</v>
      </c>
      <c r="J67" s="138">
        <v>-179</v>
      </c>
      <c r="K67" s="138">
        <v>-203</v>
      </c>
      <c r="L67" s="138">
        <v>-221</v>
      </c>
      <c r="M67" s="138">
        <v>-256</v>
      </c>
      <c r="N67" s="138">
        <v>-286</v>
      </c>
    </row>
    <row r="68" spans="2:14" x14ac:dyDescent="0.3">
      <c r="B68" s="143" t="s">
        <v>115</v>
      </c>
      <c r="C68" s="138">
        <v>0</v>
      </c>
      <c r="D68" s="138">
        <v>0</v>
      </c>
      <c r="E68" s="138">
        <v>0</v>
      </c>
      <c r="F68" s="138">
        <v>66</v>
      </c>
      <c r="G68" s="138">
        <v>13</v>
      </c>
      <c r="H68" s="138">
        <v>-82</v>
      </c>
      <c r="I68" s="138">
        <v>0</v>
      </c>
      <c r="J68" s="138">
        <v>-209</v>
      </c>
      <c r="K68" s="138">
        <v>0</v>
      </c>
      <c r="L68" s="138">
        <v>-140</v>
      </c>
      <c r="M68" s="138">
        <v>-36</v>
      </c>
      <c r="N68" s="138">
        <v>41</v>
      </c>
    </row>
    <row r="69" spans="2:14" ht="15" thickBot="1" x14ac:dyDescent="0.35">
      <c r="B69" s="145" t="s">
        <v>50</v>
      </c>
      <c r="C69" s="141">
        <v>123</v>
      </c>
      <c r="D69" s="141">
        <v>190</v>
      </c>
      <c r="E69" s="141">
        <v>147</v>
      </c>
      <c r="F69" s="141">
        <v>528</v>
      </c>
      <c r="G69" s="141">
        <v>90</v>
      </c>
      <c r="H69" s="141">
        <v>-822</v>
      </c>
      <c r="I69" s="141">
        <v>434</v>
      </c>
      <c r="J69" s="141">
        <v>-351</v>
      </c>
      <c r="K69" s="141">
        <v>2492</v>
      </c>
      <c r="L69" s="141">
        <v>-1138</v>
      </c>
      <c r="M69" s="141">
        <v>771</v>
      </c>
      <c r="N69" s="141">
        <v>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9C99-FD33-4305-ACCC-44A91DA1B3D2}">
  <dimension ref="B3:O21"/>
  <sheetViews>
    <sheetView showGridLines="0" workbookViewId="0">
      <selection activeCell="L22" sqref="L22"/>
    </sheetView>
  </sheetViews>
  <sheetFormatPr defaultRowHeight="14.4" x14ac:dyDescent="0.3"/>
  <cols>
    <col min="1" max="1" width="1.88671875" customWidth="1"/>
    <col min="2" max="2" width="10.6640625" customWidth="1"/>
    <col min="3" max="3" width="10.5546875" customWidth="1"/>
    <col min="4" max="4" width="11.21875" customWidth="1"/>
    <col min="5" max="5" width="11.6640625" customWidth="1"/>
    <col min="6" max="6" width="2.77734375" customWidth="1"/>
    <col min="7" max="7" width="10.6640625" customWidth="1"/>
    <col min="8" max="8" width="10.44140625" customWidth="1"/>
    <col min="9" max="9" width="11.109375" customWidth="1"/>
    <col min="10" max="10" width="11.33203125" customWidth="1"/>
    <col min="11" max="11" width="2.77734375" customWidth="1"/>
    <col min="12" max="12" width="10.77734375" customWidth="1"/>
    <col min="13" max="13" width="10.33203125" customWidth="1"/>
    <col min="14" max="14" width="10.6640625" customWidth="1"/>
    <col min="15" max="15" width="11.33203125" customWidth="1"/>
  </cols>
  <sheetData>
    <row r="3" spans="2:15" x14ac:dyDescent="0.3">
      <c r="B3" s="171" t="str">
        <f>'Data Sheet'!B1&amp;" - "&amp;'Data Sheet'!A17&amp;" Forecasting"</f>
        <v>TATA MOTORS LTD - Sales Forecasting</v>
      </c>
      <c r="C3" s="171"/>
      <c r="D3" s="171"/>
      <c r="E3" s="171"/>
      <c r="G3" s="171" t="str">
        <f>'Data Sheet'!B1&amp;" - "&amp;'Historical FS'!B18&amp;" Forecasting"</f>
        <v>TATA MOTORS LTD - EBITDA Forecasting</v>
      </c>
      <c r="H3" s="171"/>
      <c r="I3" s="171"/>
      <c r="J3" s="171"/>
      <c r="L3" s="171" t="str">
        <f>'Data Sheet'!B1&amp;" - "&amp;'Historical FS'!B39&amp;" Forecasting"</f>
        <v>TATA MOTORS LTD - Earning Per Share Forecasting</v>
      </c>
      <c r="M3" s="171"/>
      <c r="N3" s="171"/>
      <c r="O3" s="171"/>
    </row>
    <row r="4" spans="2:15" x14ac:dyDescent="0.3">
      <c r="B4" s="58" t="s">
        <v>157</v>
      </c>
      <c r="C4" s="58" t="s">
        <v>54</v>
      </c>
      <c r="D4" s="58" t="s">
        <v>12</v>
      </c>
      <c r="E4" s="58" t="s">
        <v>58</v>
      </c>
      <c r="G4" s="58" t="s">
        <v>157</v>
      </c>
      <c r="H4" s="58" t="s">
        <v>54</v>
      </c>
      <c r="I4" s="58" t="s">
        <v>65</v>
      </c>
      <c r="J4" s="58" t="s">
        <v>58</v>
      </c>
      <c r="L4" s="58" t="s">
        <v>157</v>
      </c>
      <c r="M4" s="58" t="s">
        <v>54</v>
      </c>
      <c r="N4" s="58" t="s">
        <v>158</v>
      </c>
      <c r="O4" s="58" t="s">
        <v>58</v>
      </c>
    </row>
    <row r="5" spans="2:15" x14ac:dyDescent="0.3">
      <c r="B5" s="57">
        <v>1</v>
      </c>
      <c r="C5" s="60">
        <f>'Data Sheet'!$B$16</f>
        <v>42094</v>
      </c>
      <c r="D5" s="61">
        <f t="array" ref="D5:D14">TRANSPOSE('Data Sheet'!B17:K17)</f>
        <v>263158.98</v>
      </c>
      <c r="G5" s="57">
        <v>1</v>
      </c>
      <c r="H5" s="60">
        <f>'Data Sheet'!$B$16</f>
        <v>42094</v>
      </c>
      <c r="I5" s="61">
        <f t="array" ref="I5:I14">TRANSPOSE('Historical FS'!C18:L18)</f>
        <v>39238.64999999998</v>
      </c>
      <c r="J5" s="119"/>
      <c r="L5" s="57">
        <v>1</v>
      </c>
      <c r="M5" s="60">
        <f>'Data Sheet'!$B$16</f>
        <v>42094</v>
      </c>
      <c r="N5" s="61">
        <f t="array" ref="N5:N14">TRANSPOSE('Historical FS'!C39:L39)</f>
        <v>46.220198102098706</v>
      </c>
    </row>
    <row r="6" spans="2:15" x14ac:dyDescent="0.3">
      <c r="B6" s="57">
        <f>B5+1</f>
        <v>2</v>
      </c>
      <c r="C6" s="60">
        <f>C5+365</f>
        <v>42459</v>
      </c>
      <c r="D6" s="61">
        <v>273045.59999999998</v>
      </c>
      <c r="E6" s="119">
        <f>IFERROR(D6/D5-1,0)</f>
        <v>3.75690010654397E-2</v>
      </c>
      <c r="G6" s="57">
        <f>G5+1</f>
        <v>2</v>
      </c>
      <c r="H6" s="60">
        <f>H5+365</f>
        <v>42459</v>
      </c>
      <c r="I6" s="61">
        <v>38395.249999999971</v>
      </c>
      <c r="J6" s="119">
        <f>IFERROR(I6/I5-1,0)</f>
        <v>-2.1494113584437979E-2</v>
      </c>
      <c r="L6" s="57">
        <f>L5+1</f>
        <v>2</v>
      </c>
      <c r="M6" s="60">
        <f>M5+365</f>
        <v>42459</v>
      </c>
      <c r="N6" s="61">
        <v>47.694444444444336</v>
      </c>
      <c r="O6" s="119">
        <f>IFERROR(N6/N5-1,0)</f>
        <v>3.189614936502605E-2</v>
      </c>
    </row>
    <row r="7" spans="2:15" x14ac:dyDescent="0.3">
      <c r="B7" s="57">
        <f t="shared" ref="B7:B19" si="0">B6+1</f>
        <v>3</v>
      </c>
      <c r="C7" s="60">
        <f t="shared" ref="C7:C19" si="1">C6+365</f>
        <v>42824</v>
      </c>
      <c r="D7" s="61">
        <v>269692.51</v>
      </c>
      <c r="E7" s="119">
        <f t="shared" ref="E7:E19" si="2">IFERROR(D7/D6-1,0)</f>
        <v>-1.2280329732469508E-2</v>
      </c>
      <c r="G7" s="57">
        <f t="shared" ref="G7:G19" si="3">G6+1</f>
        <v>3</v>
      </c>
      <c r="H7" s="60">
        <f t="shared" ref="H7:H19" si="4">H6+365</f>
        <v>42824</v>
      </c>
      <c r="I7" s="61">
        <v>29588.690000000046</v>
      </c>
      <c r="J7" s="119">
        <f t="shared" ref="J7:J19" si="5">IFERROR(I7/I6-1,0)</f>
        <v>-0.22936587208052905</v>
      </c>
      <c r="L7" s="57">
        <f t="shared" ref="L7:L19" si="6">L6+1</f>
        <v>3</v>
      </c>
      <c r="M7" s="60">
        <f t="shared" ref="M7:M19" si="7">M6+365</f>
        <v>42824</v>
      </c>
      <c r="N7" s="61">
        <v>14.527274616423808</v>
      </c>
      <c r="O7" s="119">
        <f t="shared" ref="O7:O19" si="8">IFERROR(N7/N6-1,0)</f>
        <v>-0.69540950134463697</v>
      </c>
    </row>
    <row r="8" spans="2:15" x14ac:dyDescent="0.3">
      <c r="B8" s="57">
        <f t="shared" si="0"/>
        <v>4</v>
      </c>
      <c r="C8" s="60">
        <f t="shared" si="1"/>
        <v>43189</v>
      </c>
      <c r="D8" s="61">
        <v>291550.48</v>
      </c>
      <c r="E8" s="119">
        <f t="shared" si="2"/>
        <v>8.104774581985974E-2</v>
      </c>
      <c r="G8" s="57">
        <f t="shared" si="3"/>
        <v>4</v>
      </c>
      <c r="H8" s="60">
        <f t="shared" si="4"/>
        <v>43189</v>
      </c>
      <c r="I8" s="61">
        <v>31457.679999999993</v>
      </c>
      <c r="J8" s="119">
        <f t="shared" si="5"/>
        <v>6.3165689322506102E-2</v>
      </c>
      <c r="L8" s="57">
        <f t="shared" si="6"/>
        <v>4</v>
      </c>
      <c r="M8" s="60">
        <f t="shared" si="7"/>
        <v>43189</v>
      </c>
      <c r="N8" s="61">
        <v>3.049111626779315</v>
      </c>
      <c r="O8" s="119">
        <f t="shared" si="8"/>
        <v>-0.79011124197155724</v>
      </c>
    </row>
    <row r="9" spans="2:15" x14ac:dyDescent="0.3">
      <c r="B9" s="57">
        <f t="shared" si="0"/>
        <v>5</v>
      </c>
      <c r="C9" s="60">
        <f t="shared" si="1"/>
        <v>43554</v>
      </c>
      <c r="D9" s="61">
        <v>301938.40000000002</v>
      </c>
      <c r="E9" s="119">
        <f t="shared" si="2"/>
        <v>3.5629919045237157E-2</v>
      </c>
      <c r="G9" s="57">
        <f t="shared" si="3"/>
        <v>5</v>
      </c>
      <c r="H9" s="60">
        <f t="shared" si="4"/>
        <v>43554</v>
      </c>
      <c r="I9" s="61">
        <v>24664.330000000024</v>
      </c>
      <c r="J9" s="119">
        <f t="shared" si="5"/>
        <v>-0.21595203460649259</v>
      </c>
      <c r="L9" s="57">
        <f t="shared" si="6"/>
        <v>5</v>
      </c>
      <c r="M9" s="60">
        <f t="shared" si="7"/>
        <v>43554</v>
      </c>
      <c r="N9" s="61">
        <v>-7.7839157690575265</v>
      </c>
      <c r="O9" s="119">
        <f t="shared" si="8"/>
        <v>-3.5528470983790919</v>
      </c>
    </row>
    <row r="10" spans="2:15" x14ac:dyDescent="0.3">
      <c r="B10" s="57">
        <f t="shared" si="0"/>
        <v>6</v>
      </c>
      <c r="C10" s="60">
        <f t="shared" si="1"/>
        <v>43919</v>
      </c>
      <c r="D10" s="61">
        <v>261067.97</v>
      </c>
      <c r="E10" s="119">
        <f t="shared" si="2"/>
        <v>-0.135360159555724</v>
      </c>
      <c r="G10" s="57">
        <f t="shared" si="3"/>
        <v>6</v>
      </c>
      <c r="H10" s="60">
        <f t="shared" si="4"/>
        <v>43919</v>
      </c>
      <c r="I10" s="61">
        <v>17987.069999999963</v>
      </c>
      <c r="J10" s="119">
        <f t="shared" si="5"/>
        <v>-0.27072537547138131</v>
      </c>
      <c r="L10" s="57">
        <f t="shared" si="6"/>
        <v>6</v>
      </c>
      <c r="M10" s="60">
        <f t="shared" si="7"/>
        <v>43919</v>
      </c>
      <c r="N10" s="61">
        <v>-35.859307219164904</v>
      </c>
      <c r="O10" s="119">
        <f t="shared" si="8"/>
        <v>3.6068467700681115</v>
      </c>
    </row>
    <row r="11" spans="2:15" x14ac:dyDescent="0.3">
      <c r="B11" s="57">
        <f t="shared" si="0"/>
        <v>7</v>
      </c>
      <c r="C11" s="60">
        <f t="shared" si="1"/>
        <v>44284</v>
      </c>
      <c r="D11" s="61">
        <v>249794.75</v>
      </c>
      <c r="E11" s="119">
        <f t="shared" si="2"/>
        <v>-4.3181168490336042E-2</v>
      </c>
      <c r="G11" s="57">
        <f t="shared" si="3"/>
        <v>7</v>
      </c>
      <c r="H11" s="60">
        <f t="shared" si="4"/>
        <v>44284</v>
      </c>
      <c r="I11" s="61">
        <v>32287.429999999989</v>
      </c>
      <c r="J11" s="119">
        <f t="shared" si="5"/>
        <v>0.79503554497758966</v>
      </c>
      <c r="L11" s="57">
        <f t="shared" si="6"/>
        <v>7</v>
      </c>
      <c r="M11" s="60">
        <f t="shared" si="7"/>
        <v>44284</v>
      </c>
      <c r="N11" s="61">
        <v>-5.7172845827184542</v>
      </c>
      <c r="O11" s="119">
        <f t="shared" si="8"/>
        <v>-0.84056344011958861</v>
      </c>
    </row>
    <row r="12" spans="2:15" x14ac:dyDescent="0.3">
      <c r="B12" s="57">
        <f t="shared" si="0"/>
        <v>8</v>
      </c>
      <c r="C12" s="60">
        <f t="shared" si="1"/>
        <v>44649</v>
      </c>
      <c r="D12" s="61">
        <v>278453.62</v>
      </c>
      <c r="E12" s="119">
        <f t="shared" si="2"/>
        <v>0.11472967306158344</v>
      </c>
      <c r="G12" s="57">
        <f t="shared" si="3"/>
        <v>8</v>
      </c>
      <c r="H12" s="60">
        <f t="shared" si="4"/>
        <v>44649</v>
      </c>
      <c r="I12" s="61">
        <v>24720.090000000015</v>
      </c>
      <c r="J12" s="119">
        <f t="shared" si="5"/>
        <v>-0.234374182150762</v>
      </c>
      <c r="L12" s="57">
        <f t="shared" si="6"/>
        <v>8</v>
      </c>
      <c r="M12" s="60">
        <f t="shared" si="7"/>
        <v>44649</v>
      </c>
      <c r="N12" s="61">
        <v>-41.132140813683833</v>
      </c>
      <c r="O12" s="119">
        <f t="shared" si="8"/>
        <v>6.194349033807641</v>
      </c>
    </row>
    <row r="13" spans="2:15" x14ac:dyDescent="0.3">
      <c r="B13" s="57">
        <f t="shared" si="0"/>
        <v>9</v>
      </c>
      <c r="C13" s="60">
        <f t="shared" si="1"/>
        <v>45014</v>
      </c>
      <c r="D13" s="61">
        <v>345966.97</v>
      </c>
      <c r="E13" s="119">
        <f t="shared" si="2"/>
        <v>0.24245815155859707</v>
      </c>
      <c r="G13" s="57">
        <f t="shared" si="3"/>
        <v>9</v>
      </c>
      <c r="H13" s="60">
        <f t="shared" si="4"/>
        <v>45014</v>
      </c>
      <c r="I13" s="61">
        <v>31815.799999999959</v>
      </c>
      <c r="J13" s="119">
        <f t="shared" si="5"/>
        <v>0.28704223973294352</v>
      </c>
      <c r="L13" s="57">
        <f t="shared" si="6"/>
        <v>9</v>
      </c>
      <c r="M13" s="60">
        <f t="shared" si="7"/>
        <v>45014</v>
      </c>
      <c r="N13" s="61">
        <v>-11.965495438533218</v>
      </c>
      <c r="O13" s="119">
        <f t="shared" si="8"/>
        <v>-0.70909621522659627</v>
      </c>
    </row>
    <row r="14" spans="2:15" x14ac:dyDescent="0.3">
      <c r="B14" s="57">
        <f t="shared" si="0"/>
        <v>10</v>
      </c>
      <c r="C14" s="60">
        <f t="shared" si="1"/>
        <v>45379</v>
      </c>
      <c r="D14" s="61">
        <v>437927.77</v>
      </c>
      <c r="E14" s="119">
        <f t="shared" si="2"/>
        <v>0.26580803363974326</v>
      </c>
      <c r="G14" s="57">
        <f t="shared" si="3"/>
        <v>10</v>
      </c>
      <c r="H14" s="60">
        <f t="shared" si="4"/>
        <v>45379</v>
      </c>
      <c r="I14" s="61">
        <v>59538.34000000004</v>
      </c>
      <c r="J14" s="121">
        <f t="shared" si="5"/>
        <v>0.87134505497269021</v>
      </c>
      <c r="L14" s="57">
        <f t="shared" si="6"/>
        <v>10</v>
      </c>
      <c r="M14" s="60">
        <f t="shared" si="7"/>
        <v>45379</v>
      </c>
      <c r="N14" s="61">
        <v>78.629509281824596</v>
      </c>
      <c r="O14" s="119">
        <f t="shared" si="8"/>
        <v>-7.5713542482001346</v>
      </c>
    </row>
    <row r="15" spans="2:15" x14ac:dyDescent="0.3">
      <c r="B15" s="62">
        <f>B14+1</f>
        <v>11</v>
      </c>
      <c r="C15" s="63">
        <f t="shared" si="1"/>
        <v>45744</v>
      </c>
      <c r="D15" s="64">
        <f>FORECAST(B15,$D$5:$D$14,$B$5:$B$14)</f>
        <v>362627.59266666661</v>
      </c>
      <c r="E15" s="120">
        <f t="shared" si="2"/>
        <v>-0.17194656857073354</v>
      </c>
      <c r="G15" s="62">
        <f>G14+1</f>
        <v>11</v>
      </c>
      <c r="H15" s="63">
        <f t="shared" si="4"/>
        <v>45744</v>
      </c>
      <c r="I15" s="64">
        <f>FORECAST(G15,$I$5:$I$14,$G$5:$G$14)</f>
        <v>36573.001333333334</v>
      </c>
      <c r="J15" s="120">
        <f t="shared" si="5"/>
        <v>-0.38572352985767977</v>
      </c>
      <c r="L15" s="62">
        <f>L14+1</f>
        <v>11</v>
      </c>
      <c r="M15" s="63">
        <f t="shared" si="7"/>
        <v>45744</v>
      </c>
      <c r="N15" s="64">
        <f>FORECAST(L15,$N$5:$N$14,$L$5:$L$14)</f>
        <v>-6.520675101573687</v>
      </c>
      <c r="O15" s="120">
        <f t="shared" si="8"/>
        <v>-1.082929108436913</v>
      </c>
    </row>
    <row r="16" spans="2:15" x14ac:dyDescent="0.3">
      <c r="B16" s="62">
        <f t="shared" si="0"/>
        <v>12</v>
      </c>
      <c r="C16" s="63">
        <f t="shared" si="1"/>
        <v>46109</v>
      </c>
      <c r="D16" s="64">
        <f t="shared" ref="D16:D19" si="9">FORECAST(B16,$D$5:$D$14,$B$5:$B$14)</f>
        <v>374512.66315151507</v>
      </c>
      <c r="E16" s="120">
        <f t="shared" si="2"/>
        <v>3.2774865247977569E-2</v>
      </c>
      <c r="G16" s="62">
        <f t="shared" si="3"/>
        <v>12</v>
      </c>
      <c r="H16" s="63">
        <f t="shared" si="4"/>
        <v>46109</v>
      </c>
      <c r="I16" s="64">
        <f t="shared" ref="I16:I19" si="10">FORECAST(G16,$I$5:$I$14,$G$5:$G$14)</f>
        <v>37228.213757575766</v>
      </c>
      <c r="J16" s="120">
        <f t="shared" si="5"/>
        <v>1.7915194278716795E-2</v>
      </c>
      <c r="L16" s="62">
        <f t="shared" si="6"/>
        <v>12</v>
      </c>
      <c r="M16" s="63">
        <f t="shared" si="7"/>
        <v>46109</v>
      </c>
      <c r="N16" s="64">
        <f t="shared" ref="N16:N19" si="11">FORECAST(L16,$N$5:$N$14,$L$5:$L$14)</f>
        <v>-9.3001141063764052</v>
      </c>
      <c r="O16" s="120">
        <f t="shared" si="8"/>
        <v>0.42625019058715763</v>
      </c>
    </row>
    <row r="17" spans="2:15" x14ac:dyDescent="0.3">
      <c r="B17" s="62">
        <f t="shared" si="0"/>
        <v>13</v>
      </c>
      <c r="C17" s="63">
        <f t="shared" si="1"/>
        <v>46474</v>
      </c>
      <c r="D17" s="64">
        <f t="shared" si="9"/>
        <v>386397.73363636358</v>
      </c>
      <c r="E17" s="120">
        <f t="shared" si="2"/>
        <v>3.1734762677544603E-2</v>
      </c>
      <c r="G17" s="62">
        <f t="shared" si="3"/>
        <v>13</v>
      </c>
      <c r="H17" s="63">
        <f t="shared" si="4"/>
        <v>46474</v>
      </c>
      <c r="I17" s="64">
        <f t="shared" si="10"/>
        <v>37883.426181818184</v>
      </c>
      <c r="J17" s="120">
        <f t="shared" si="5"/>
        <v>1.7599888850672762E-2</v>
      </c>
      <c r="L17" s="62">
        <f t="shared" si="6"/>
        <v>13</v>
      </c>
      <c r="M17" s="63">
        <f t="shared" si="7"/>
        <v>46474</v>
      </c>
      <c r="N17" s="64">
        <f t="shared" si="11"/>
        <v>-12.079553111179131</v>
      </c>
      <c r="O17" s="120">
        <f t="shared" si="8"/>
        <v>0.29886074224584713</v>
      </c>
    </row>
    <row r="18" spans="2:15" x14ac:dyDescent="0.3">
      <c r="B18" s="62">
        <f t="shared" si="0"/>
        <v>14</v>
      </c>
      <c r="C18" s="63">
        <f t="shared" si="1"/>
        <v>46839</v>
      </c>
      <c r="D18" s="64">
        <f t="shared" si="9"/>
        <v>398282.8041212121</v>
      </c>
      <c r="E18" s="120">
        <f t="shared" si="2"/>
        <v>3.0758644397312906E-2</v>
      </c>
      <c r="G18" s="62">
        <f t="shared" si="3"/>
        <v>14</v>
      </c>
      <c r="H18" s="63">
        <f t="shared" si="4"/>
        <v>46839</v>
      </c>
      <c r="I18" s="64">
        <f t="shared" si="10"/>
        <v>38538.638606060616</v>
      </c>
      <c r="J18" s="120">
        <f t="shared" si="5"/>
        <v>1.7295490146477244E-2</v>
      </c>
      <c r="L18" s="62">
        <f t="shared" si="6"/>
        <v>14</v>
      </c>
      <c r="M18" s="63">
        <f t="shared" si="7"/>
        <v>46839</v>
      </c>
      <c r="N18" s="64">
        <f t="shared" si="11"/>
        <v>-14.858992115981849</v>
      </c>
      <c r="O18" s="120">
        <f t="shared" si="8"/>
        <v>0.23009452247289364</v>
      </c>
    </row>
    <row r="19" spans="2:15" x14ac:dyDescent="0.3">
      <c r="B19" s="62">
        <f t="shared" si="0"/>
        <v>15</v>
      </c>
      <c r="C19" s="63">
        <f t="shared" si="1"/>
        <v>47204</v>
      </c>
      <c r="D19" s="64">
        <f t="shared" si="9"/>
        <v>410167.87460606056</v>
      </c>
      <c r="E19" s="120">
        <f t="shared" si="2"/>
        <v>2.9840782383442788E-2</v>
      </c>
      <c r="G19" s="62">
        <f t="shared" si="3"/>
        <v>15</v>
      </c>
      <c r="H19" s="63">
        <f t="shared" si="4"/>
        <v>47204</v>
      </c>
      <c r="I19" s="64">
        <f t="shared" si="10"/>
        <v>39193.851030303042</v>
      </c>
      <c r="J19" s="120">
        <f t="shared" si="5"/>
        <v>1.7001441876034251E-2</v>
      </c>
      <c r="L19" s="62">
        <f t="shared" si="6"/>
        <v>15</v>
      </c>
      <c r="M19" s="63">
        <f t="shared" si="7"/>
        <v>47204</v>
      </c>
      <c r="N19" s="64">
        <f t="shared" si="11"/>
        <v>-17.638431120784574</v>
      </c>
      <c r="O19" s="120">
        <f t="shared" si="8"/>
        <v>0.18705434279174638</v>
      </c>
    </row>
    <row r="20" spans="2:15" x14ac:dyDescent="0.3">
      <c r="B20" s="57"/>
      <c r="C20" s="59"/>
    </row>
    <row r="21" spans="2:15" x14ac:dyDescent="0.3">
      <c r="B21" s="57"/>
      <c r="C21" s="59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FDB5-D409-4ECC-8BD1-B617B65690A9}">
  <dimension ref="A3:K63"/>
  <sheetViews>
    <sheetView showGridLines="0" zoomScale="104" workbookViewId="0">
      <selection activeCell="L56" sqref="L56"/>
    </sheetView>
  </sheetViews>
  <sheetFormatPr defaultRowHeight="14.4" x14ac:dyDescent="0.3"/>
  <cols>
    <col min="1" max="1" width="1.88671875" customWidth="1"/>
    <col min="2" max="2" width="30.33203125" customWidth="1"/>
    <col min="8" max="8" width="9.109375" customWidth="1"/>
    <col min="9" max="9" width="10.6640625" bestFit="1" customWidth="1"/>
    <col min="10" max="11" width="9" bestFit="1" customWidth="1"/>
  </cols>
  <sheetData>
    <row r="3" spans="2:11" x14ac:dyDescent="0.3">
      <c r="B3" s="8" t="s">
        <v>189</v>
      </c>
      <c r="C3" s="75"/>
      <c r="D3" s="75"/>
      <c r="E3" s="75"/>
      <c r="F3" s="75"/>
      <c r="G3" s="9">
        <f>'Raw FS'!J$2</f>
        <v>43891</v>
      </c>
      <c r="H3" s="9">
        <f>'Raw FS'!K$2</f>
        <v>44256</v>
      </c>
      <c r="I3" s="9">
        <f>'Raw FS'!L$2</f>
        <v>44621</v>
      </c>
      <c r="J3" s="9">
        <f>'Raw FS'!M$2</f>
        <v>44986</v>
      </c>
      <c r="K3" s="9">
        <f>'Raw FS'!N$2</f>
        <v>45352</v>
      </c>
    </row>
    <row r="5" spans="2:11" x14ac:dyDescent="0.3">
      <c r="B5" s="25" t="s">
        <v>190</v>
      </c>
    </row>
    <row r="6" spans="2:11" x14ac:dyDescent="0.3">
      <c r="B6" s="78" t="s">
        <v>184</v>
      </c>
      <c r="C6" s="78"/>
      <c r="D6" s="78"/>
      <c r="E6" s="78"/>
      <c r="F6" s="78"/>
      <c r="G6" s="79">
        <f>'Raw FS'!J33</f>
        <v>3390</v>
      </c>
      <c r="H6" s="79">
        <f>'Raw FS'!K33</f>
        <v>3799</v>
      </c>
      <c r="I6" s="79">
        <f>'Raw FS'!L33</f>
        <v>6153</v>
      </c>
      <c r="J6" s="79">
        <f>'Raw FS'!M33</f>
        <v>6211</v>
      </c>
      <c r="K6" s="79">
        <f>'Raw FS'!N33</f>
        <v>5923</v>
      </c>
    </row>
    <row r="7" spans="2:11" x14ac:dyDescent="0.3">
      <c r="B7" s="78" t="s">
        <v>191</v>
      </c>
      <c r="C7" s="78"/>
      <c r="D7" s="78"/>
      <c r="E7" s="78"/>
      <c r="F7" s="78"/>
      <c r="G7" s="79">
        <f>'Raw FS'!J34</f>
        <v>1795</v>
      </c>
      <c r="H7" s="79">
        <f>'Raw FS'!K34</f>
        <v>2602</v>
      </c>
      <c r="I7" s="79">
        <f>'Raw FS'!L34</f>
        <v>3871</v>
      </c>
      <c r="J7" s="79">
        <f>'Raw FS'!M34</f>
        <v>4637</v>
      </c>
      <c r="K7" s="79">
        <f>'Raw FS'!N34</f>
        <v>4889</v>
      </c>
    </row>
    <row r="8" spans="2:11" x14ac:dyDescent="0.3">
      <c r="B8" s="78" t="s">
        <v>187</v>
      </c>
      <c r="C8" s="78"/>
      <c r="D8" s="78"/>
      <c r="E8" s="78"/>
      <c r="F8" s="78"/>
      <c r="G8" s="79">
        <f>'Raw FS'!J36</f>
        <v>12</v>
      </c>
      <c r="H8" s="79">
        <f>'Raw FS'!K36</f>
        <v>11</v>
      </c>
      <c r="I8" s="79">
        <f>'Raw FS'!L36</f>
        <v>8</v>
      </c>
      <c r="J8" s="79">
        <f>'Raw FS'!M36</f>
        <v>12</v>
      </c>
      <c r="K8" s="79">
        <f>'Raw FS'!N36</f>
        <v>17</v>
      </c>
    </row>
    <row r="9" spans="2:11" x14ac:dyDescent="0.3">
      <c r="B9" t="s">
        <v>188</v>
      </c>
      <c r="G9" s="61">
        <f>'Raw FS'!J37</f>
        <v>1727</v>
      </c>
      <c r="H9" s="61">
        <f>'Raw FS'!K37</f>
        <v>2555</v>
      </c>
      <c r="I9" s="61">
        <f>'Raw FS'!L37</f>
        <v>2869</v>
      </c>
      <c r="J9" s="61">
        <f>'Raw FS'!M37</f>
        <v>3024</v>
      </c>
      <c r="K9" s="61">
        <f>'Raw FS'!N37</f>
        <v>3555</v>
      </c>
    </row>
    <row r="10" spans="2:11" x14ac:dyDescent="0.3">
      <c r="B10" s="67" t="s">
        <v>85</v>
      </c>
      <c r="C10" s="163"/>
      <c r="D10" s="163"/>
      <c r="E10" s="163"/>
      <c r="F10" s="163"/>
      <c r="G10" s="164">
        <f>SUM(G6:G9)</f>
        <v>6924</v>
      </c>
      <c r="H10" s="164">
        <f t="shared" ref="H10:K10" si="0">SUM(H6:H9)</f>
        <v>8967</v>
      </c>
      <c r="I10" s="164">
        <f t="shared" si="0"/>
        <v>12901</v>
      </c>
      <c r="J10" s="164">
        <f t="shared" si="0"/>
        <v>13884</v>
      </c>
      <c r="K10" s="164">
        <f t="shared" si="0"/>
        <v>14384</v>
      </c>
    </row>
    <row r="11" spans="2:11" x14ac:dyDescent="0.3">
      <c r="G11" s="61"/>
      <c r="H11" s="61"/>
      <c r="I11" s="61"/>
      <c r="J11" s="61"/>
      <c r="K11" s="61"/>
    </row>
    <row r="12" spans="2:11" x14ac:dyDescent="0.3">
      <c r="B12" s="25" t="s">
        <v>192</v>
      </c>
      <c r="G12" s="61"/>
      <c r="H12" s="61"/>
      <c r="I12" s="61"/>
      <c r="J12" s="61"/>
      <c r="K12" s="61"/>
    </row>
    <row r="13" spans="2:11" x14ac:dyDescent="0.3">
      <c r="B13" s="78" t="s">
        <v>169</v>
      </c>
      <c r="C13" s="78"/>
      <c r="D13" s="78"/>
      <c r="E13" s="78"/>
      <c r="F13" s="78"/>
      <c r="G13" s="79">
        <f>'Raw FS'!J13</f>
        <v>2137</v>
      </c>
      <c r="H13" s="79">
        <f>'Raw FS'!K13</f>
        <v>3379</v>
      </c>
      <c r="I13" s="79">
        <f>'Raw FS'!L13</f>
        <v>4164</v>
      </c>
      <c r="J13" s="79">
        <f>'Raw FS'!M13</f>
        <v>3635</v>
      </c>
      <c r="K13" s="79">
        <f>'Raw FS'!N13</f>
        <v>3831</v>
      </c>
    </row>
    <row r="14" spans="2:11" x14ac:dyDescent="0.3">
      <c r="B14" s="78" t="s">
        <v>170</v>
      </c>
      <c r="C14" s="78"/>
      <c r="D14" s="78"/>
      <c r="E14" s="78"/>
      <c r="F14" s="78"/>
      <c r="G14" s="79">
        <f>'Raw FS'!J14</f>
        <v>29</v>
      </c>
      <c r="H14" s="79">
        <f>'Raw FS'!K14</f>
        <v>41</v>
      </c>
      <c r="I14" s="79">
        <f>'Raw FS'!L14</f>
        <v>76</v>
      </c>
      <c r="J14" s="79">
        <f>'Raw FS'!M14</f>
        <v>108</v>
      </c>
      <c r="K14" s="79">
        <f>'Raw FS'!N14</f>
        <v>154</v>
      </c>
    </row>
    <row r="15" spans="2:11" x14ac:dyDescent="0.3">
      <c r="B15" t="s">
        <v>171</v>
      </c>
      <c r="C15" s="78"/>
      <c r="D15" s="78"/>
      <c r="E15" s="78"/>
      <c r="F15" s="78"/>
      <c r="G15" s="79">
        <f>'Raw FS'!J15</f>
        <v>2320</v>
      </c>
      <c r="H15" s="79">
        <f>'Raw FS'!K15</f>
        <v>2613</v>
      </c>
      <c r="I15" s="79">
        <f>'Raw FS'!L15</f>
        <v>2932</v>
      </c>
      <c r="J15" s="79">
        <f>'Raw FS'!M15</f>
        <v>3657</v>
      </c>
      <c r="K15" s="79">
        <f>'Raw FS'!N15</f>
        <v>4017</v>
      </c>
    </row>
    <row r="16" spans="2:11" x14ac:dyDescent="0.3">
      <c r="B16" s="77" t="s">
        <v>193</v>
      </c>
      <c r="G16" s="80">
        <f>SUM(G13:G15)</f>
        <v>4486</v>
      </c>
      <c r="H16" s="80">
        <f t="shared" ref="H16:K16" si="1">SUM(H13:H15)</f>
        <v>6033</v>
      </c>
      <c r="I16" s="80">
        <f t="shared" si="1"/>
        <v>7172</v>
      </c>
      <c r="J16" s="80">
        <f t="shared" si="1"/>
        <v>7400</v>
      </c>
      <c r="K16" s="80">
        <f t="shared" si="1"/>
        <v>8002</v>
      </c>
    </row>
    <row r="18" spans="1:11" ht="15" thickBot="1" x14ac:dyDescent="0.35">
      <c r="A18" s="25" t="s">
        <v>57</v>
      </c>
      <c r="B18" s="81" t="s">
        <v>194</v>
      </c>
      <c r="C18" s="82"/>
      <c r="D18" s="82"/>
      <c r="E18" s="82"/>
      <c r="F18" s="82"/>
      <c r="G18" s="83">
        <f>G10-G16</f>
        <v>2438</v>
      </c>
      <c r="H18" s="83">
        <f t="shared" ref="H18:K18" si="2">H10-H16</f>
        <v>2934</v>
      </c>
      <c r="I18" s="83">
        <f t="shared" si="2"/>
        <v>5729</v>
      </c>
      <c r="J18" s="83">
        <f t="shared" si="2"/>
        <v>6484</v>
      </c>
      <c r="K18" s="83">
        <f t="shared" si="2"/>
        <v>6382</v>
      </c>
    </row>
    <row r="19" spans="1:11" ht="15" thickTop="1" x14ac:dyDescent="0.3"/>
    <row r="21" spans="1:11" x14ac:dyDescent="0.3">
      <c r="B21" s="25" t="s">
        <v>195</v>
      </c>
      <c r="G21" s="61"/>
      <c r="H21" s="61"/>
      <c r="I21" s="61"/>
      <c r="J21" s="61"/>
      <c r="K21" s="61"/>
    </row>
    <row r="22" spans="1:11" x14ac:dyDescent="0.3">
      <c r="B22" s="78" t="str">
        <f>'Raw FS'!B19</f>
        <v>Land</v>
      </c>
      <c r="C22" s="78"/>
      <c r="D22" s="78"/>
      <c r="E22" s="78"/>
      <c r="F22" s="78"/>
      <c r="G22" s="79">
        <f>'Raw FS'!J19</f>
        <v>640</v>
      </c>
      <c r="H22" s="79">
        <f>'Raw FS'!K19</f>
        <v>644</v>
      </c>
      <c r="I22" s="79">
        <f>'Raw FS'!L19</f>
        <v>644</v>
      </c>
      <c r="J22" s="79">
        <f>'Raw FS'!M19</f>
        <v>804</v>
      </c>
      <c r="K22" s="79">
        <f>'Raw FS'!N19</f>
        <v>1126</v>
      </c>
    </row>
    <row r="23" spans="1:11" x14ac:dyDescent="0.3">
      <c r="B23" s="78" t="str">
        <f>'Raw FS'!B20</f>
        <v>Building</v>
      </c>
      <c r="C23" s="78"/>
      <c r="D23" s="78"/>
      <c r="E23" s="78"/>
      <c r="F23" s="78"/>
      <c r="G23" s="79">
        <f>'Raw FS'!J20</f>
        <v>2257</v>
      </c>
      <c r="H23" s="79">
        <f>'Raw FS'!K20</f>
        <v>2249</v>
      </c>
      <c r="I23" s="79">
        <f>'Raw FS'!L20</f>
        <v>2325</v>
      </c>
      <c r="J23" s="79">
        <f>'Raw FS'!M20</f>
        <v>2883</v>
      </c>
      <c r="K23" s="79">
        <f>'Raw FS'!N20</f>
        <v>3390</v>
      </c>
    </row>
    <row r="24" spans="1:11" x14ac:dyDescent="0.3">
      <c r="B24" s="78" t="str">
        <f>'Raw FS'!B21</f>
        <v>Plant Machinery</v>
      </c>
      <c r="C24" s="78"/>
      <c r="D24" s="78"/>
      <c r="E24" s="78"/>
      <c r="F24" s="78"/>
      <c r="G24" s="79">
        <f>'Raw FS'!J21</f>
        <v>4208</v>
      </c>
      <c r="H24" s="79">
        <f>'Raw FS'!K21</f>
        <v>4340</v>
      </c>
      <c r="I24" s="79">
        <f>'Raw FS'!L21</f>
        <v>4531</v>
      </c>
      <c r="J24" s="79">
        <f>'Raw FS'!M21</f>
        <v>4825</v>
      </c>
      <c r="K24" s="79">
        <f>'Raw FS'!N21</f>
        <v>5422</v>
      </c>
    </row>
    <row r="25" spans="1:11" x14ac:dyDescent="0.3">
      <c r="B25" s="78" t="str">
        <f>'Raw FS'!B22</f>
        <v>Equipments</v>
      </c>
      <c r="C25" s="78"/>
      <c r="D25" s="78"/>
      <c r="E25" s="78"/>
      <c r="F25" s="78"/>
      <c r="G25" s="79">
        <f>'Raw FS'!J22</f>
        <v>241</v>
      </c>
      <c r="H25" s="79">
        <f>'Raw FS'!K22</f>
        <v>243</v>
      </c>
      <c r="I25" s="79">
        <f>'Raw FS'!L22</f>
        <v>253</v>
      </c>
      <c r="J25" s="79">
        <f>'Raw FS'!M22</f>
        <v>270</v>
      </c>
      <c r="K25" s="79">
        <f>'Raw FS'!N22</f>
        <v>298</v>
      </c>
    </row>
    <row r="26" spans="1:11" x14ac:dyDescent="0.3">
      <c r="B26" s="78" t="str">
        <f>'Raw FS'!B23</f>
        <v>Furniture n fittings</v>
      </c>
      <c r="C26" s="78"/>
      <c r="D26" s="78"/>
      <c r="E26" s="78"/>
      <c r="F26" s="78"/>
      <c r="G26" s="79">
        <f>'Raw FS'!J23</f>
        <v>94</v>
      </c>
      <c r="H26" s="79">
        <f>'Raw FS'!K23</f>
        <v>99</v>
      </c>
      <c r="I26" s="79">
        <f>'Raw FS'!L23</f>
        <v>113</v>
      </c>
      <c r="J26" s="79">
        <f>'Raw FS'!M23</f>
        <v>146</v>
      </c>
      <c r="K26" s="79">
        <f>'Raw FS'!N23</f>
        <v>175</v>
      </c>
    </row>
    <row r="27" spans="1:11" x14ac:dyDescent="0.3">
      <c r="B27" s="78" t="str">
        <f>'Raw FS'!B24</f>
        <v>Vehicles</v>
      </c>
      <c r="C27" s="78"/>
      <c r="D27" s="78"/>
      <c r="E27" s="78"/>
      <c r="F27" s="78"/>
      <c r="G27" s="79">
        <f>'Raw FS'!J24</f>
        <v>43</v>
      </c>
      <c r="H27" s="79">
        <f>'Raw FS'!K24</f>
        <v>38</v>
      </c>
      <c r="I27" s="79">
        <f>'Raw FS'!L24</f>
        <v>32</v>
      </c>
      <c r="J27" s="79">
        <f>'Raw FS'!M24</f>
        <v>36</v>
      </c>
      <c r="K27" s="79">
        <f>'Raw FS'!N24</f>
        <v>40</v>
      </c>
    </row>
    <row r="28" spans="1:11" x14ac:dyDescent="0.3">
      <c r="B28" s="78" t="str">
        <f>'Raw FS'!B25</f>
        <v>Intangible Assets</v>
      </c>
      <c r="C28" s="78"/>
      <c r="D28" s="78"/>
      <c r="E28" s="78"/>
      <c r="F28" s="78"/>
      <c r="G28" s="79">
        <f>'Raw FS'!J25</f>
        <v>505</v>
      </c>
      <c r="H28" s="79">
        <f>'Raw FS'!K25</f>
        <v>476</v>
      </c>
      <c r="I28" s="79">
        <f>'Raw FS'!L25</f>
        <v>345</v>
      </c>
      <c r="J28" s="79">
        <f>'Raw FS'!M25</f>
        <v>422</v>
      </c>
      <c r="K28" s="79">
        <f>'Raw FS'!N25</f>
        <v>850</v>
      </c>
    </row>
    <row r="29" spans="1:11" x14ac:dyDescent="0.3">
      <c r="B29" t="str">
        <f>'Raw FS'!B26</f>
        <v>Other fixed assets</v>
      </c>
      <c r="C29" s="78"/>
      <c r="D29" s="78"/>
      <c r="E29" s="78"/>
      <c r="F29" s="78"/>
      <c r="G29" s="79">
        <f>'Raw FS'!J26</f>
        <v>293</v>
      </c>
      <c r="H29" s="79">
        <f>'Raw FS'!K26</f>
        <v>302</v>
      </c>
      <c r="I29" s="79">
        <f>'Raw FS'!L26</f>
        <v>294</v>
      </c>
      <c r="J29" s="79">
        <f>'Raw FS'!M26</f>
        <v>289</v>
      </c>
      <c r="K29" s="79">
        <f>'Raw FS'!N26</f>
        <v>321</v>
      </c>
    </row>
    <row r="30" spans="1:11" x14ac:dyDescent="0.3">
      <c r="B30" s="77" t="s">
        <v>181</v>
      </c>
      <c r="G30" s="80">
        <f>SUM(G22:G29)</f>
        <v>8281</v>
      </c>
      <c r="H30" s="80">
        <f>SUM(H22:H29)</f>
        <v>8391</v>
      </c>
      <c r="I30" s="80">
        <f>SUM(I22:I29)</f>
        <v>8537</v>
      </c>
      <c r="J30" s="80">
        <f>SUM(J22:J29)</f>
        <v>9675</v>
      </c>
      <c r="K30" s="80">
        <f>SUM(K22:K29)</f>
        <v>11622</v>
      </c>
    </row>
    <row r="31" spans="1:11" x14ac:dyDescent="0.3">
      <c r="B31" t="s">
        <v>196</v>
      </c>
      <c r="G31">
        <f>-'Raw FS'!J28</f>
        <v>-2010</v>
      </c>
      <c r="H31">
        <f>-'Raw FS'!K28</f>
        <v>-2533</v>
      </c>
      <c r="I31">
        <f>-'Raw FS'!L28</f>
        <v>-3019</v>
      </c>
      <c r="J31">
        <f>-'Raw FS'!M28</f>
        <v>-3814</v>
      </c>
      <c r="K31">
        <f>-'Raw FS'!N28</f>
        <v>-4381</v>
      </c>
    </row>
    <row r="32" spans="1:11" ht="15" thickBot="1" x14ac:dyDescent="0.35">
      <c r="A32" s="25" t="s">
        <v>57</v>
      </c>
      <c r="B32" s="83" t="s">
        <v>197</v>
      </c>
      <c r="C32" s="83"/>
      <c r="D32" s="83"/>
      <c r="E32" s="83"/>
      <c r="F32" s="83"/>
      <c r="G32" s="83">
        <f>SUM(G30:G31)</f>
        <v>6271</v>
      </c>
      <c r="H32" s="83">
        <f t="shared" ref="H32:K32" si="3">SUM(H30:H31)</f>
        <v>5858</v>
      </c>
      <c r="I32" s="83">
        <f t="shared" si="3"/>
        <v>5518</v>
      </c>
      <c r="J32" s="83">
        <f t="shared" si="3"/>
        <v>5861</v>
      </c>
      <c r="K32" s="83">
        <f t="shared" si="3"/>
        <v>7241</v>
      </c>
    </row>
    <row r="33" spans="1:11" ht="15" thickTop="1" x14ac:dyDescent="0.3"/>
    <row r="34" spans="1:11" x14ac:dyDescent="0.3">
      <c r="A34" s="25" t="s">
        <v>57</v>
      </c>
      <c r="B34" s="92" t="s">
        <v>198</v>
      </c>
      <c r="C34" s="78"/>
      <c r="D34" s="78"/>
      <c r="E34" s="78"/>
      <c r="F34" s="78"/>
      <c r="G34" s="93">
        <f>G32+G18</f>
        <v>8709</v>
      </c>
      <c r="H34" s="93">
        <f t="shared" ref="H34:J34" si="4">H32+H18</f>
        <v>8792</v>
      </c>
      <c r="I34" s="93">
        <f t="shared" si="4"/>
        <v>11247</v>
      </c>
      <c r="J34" s="93">
        <f t="shared" si="4"/>
        <v>12345</v>
      </c>
      <c r="K34" s="93">
        <f>K32+K18</f>
        <v>13623</v>
      </c>
    </row>
    <row r="35" spans="1:11" x14ac:dyDescent="0.3">
      <c r="A35" s="25" t="s">
        <v>57</v>
      </c>
      <c r="B35" s="92" t="s">
        <v>199</v>
      </c>
      <c r="C35" s="78"/>
      <c r="D35" s="78"/>
      <c r="E35" s="78"/>
      <c r="F35" s="78"/>
      <c r="G35" s="92">
        <f>'Historical FS'!H27+'Historical FS'!H21</f>
        <v>-3438.3600000000388</v>
      </c>
      <c r="H35" s="92">
        <f>'Historical FS'!I27+'Historical FS'!I21</f>
        <v>8740.7199999999921</v>
      </c>
      <c r="I35" s="92">
        <f>'Historical FS'!J27+'Historical FS'!J21</f>
        <v>-115.59999999998763</v>
      </c>
      <c r="J35" s="92">
        <f>'Historical FS'!K27+'Historical FS'!K21</f>
        <v>6955.4399999999623</v>
      </c>
      <c r="K35" s="92">
        <f>'Historical FS'!L27+'Historical FS'!L21</f>
        <v>32268.210000000043</v>
      </c>
    </row>
    <row r="37" spans="1:11" ht="15" thickBot="1" x14ac:dyDescent="0.35">
      <c r="A37" s="25" t="s">
        <v>57</v>
      </c>
      <c r="B37" s="83" t="s">
        <v>200</v>
      </c>
      <c r="C37" s="83"/>
      <c r="D37" s="83"/>
      <c r="E37" s="83"/>
      <c r="F37" s="83"/>
      <c r="G37" s="84">
        <f>G35/G34</f>
        <v>-0.39480537375129621</v>
      </c>
      <c r="H37" s="84">
        <f t="shared" ref="H37:K37" si="5">H35/H34</f>
        <v>0.99416742493175525</v>
      </c>
      <c r="I37" s="84">
        <f t="shared" si="5"/>
        <v>-1.0278296434603684E-2</v>
      </c>
      <c r="J37" s="84">
        <f t="shared" si="5"/>
        <v>0.56342162818954733</v>
      </c>
      <c r="K37" s="84">
        <f t="shared" si="5"/>
        <v>2.3686566835498821</v>
      </c>
    </row>
    <row r="38" spans="1:11" ht="15" thickTop="1" x14ac:dyDescent="0.3"/>
    <row r="39" spans="1:11" x14ac:dyDescent="0.3">
      <c r="A39" s="25" t="s">
        <v>57</v>
      </c>
      <c r="B39" s="8" t="s">
        <v>201</v>
      </c>
      <c r="C39" s="75"/>
      <c r="D39" s="75"/>
      <c r="E39" s="75"/>
      <c r="F39" s="75"/>
      <c r="G39" s="9">
        <f>'Raw FS'!J$2</f>
        <v>43891</v>
      </c>
      <c r="H39" s="9">
        <f>'Raw FS'!K$2</f>
        <v>44256</v>
      </c>
      <c r="I39" s="9">
        <f>'Raw FS'!L$2</f>
        <v>44621</v>
      </c>
      <c r="J39" s="9">
        <f>'Raw FS'!M$2</f>
        <v>44986</v>
      </c>
      <c r="K39" s="9">
        <f>'Raw FS'!N$2</f>
        <v>45352</v>
      </c>
    </row>
    <row r="41" spans="1:11" x14ac:dyDescent="0.3">
      <c r="B41" s="78" t="s">
        <v>202</v>
      </c>
      <c r="C41" s="78"/>
      <c r="D41" s="78"/>
      <c r="E41" s="78"/>
      <c r="F41" s="78"/>
      <c r="G41" s="79">
        <f>-SUM('Raw FS'!J51:J52)</f>
        <v>367</v>
      </c>
      <c r="H41" s="79">
        <f>-SUM('Raw FS'!K51:K52)</f>
        <v>254</v>
      </c>
      <c r="I41" s="79">
        <f>-SUM('Raw FS'!L51:L52)</f>
        <v>511</v>
      </c>
      <c r="J41" s="79">
        <f>-SUM('Raw FS'!M51:M52)</f>
        <v>1420</v>
      </c>
      <c r="K41" s="79">
        <f>-SUM('Raw FS'!N51:N52)</f>
        <v>2491</v>
      </c>
    </row>
    <row r="42" spans="1:11" x14ac:dyDescent="0.3">
      <c r="B42" s="78" t="s">
        <v>203</v>
      </c>
      <c r="C42" s="78"/>
      <c r="D42" s="78"/>
      <c r="E42" s="78"/>
      <c r="F42" s="78"/>
      <c r="G42" s="79"/>
      <c r="H42" s="79">
        <f>H18-G18</f>
        <v>496</v>
      </c>
      <c r="I42" s="79">
        <f>I18-H18</f>
        <v>2795</v>
      </c>
      <c r="J42" s="79">
        <f>J18-I18</f>
        <v>755</v>
      </c>
      <c r="K42" s="79">
        <f>K18-J18</f>
        <v>-102</v>
      </c>
    </row>
    <row r="43" spans="1:11" x14ac:dyDescent="0.3">
      <c r="B43" s="78"/>
      <c r="C43" s="78"/>
      <c r="D43" s="78"/>
      <c r="E43" s="78"/>
      <c r="F43" s="78"/>
      <c r="G43" s="79"/>
      <c r="H43" s="79"/>
      <c r="I43" s="79"/>
      <c r="J43" s="79"/>
      <c r="K43" s="79"/>
    </row>
    <row r="44" spans="1:11" x14ac:dyDescent="0.3">
      <c r="B44" s="78" t="s">
        <v>199</v>
      </c>
      <c r="C44" s="78"/>
      <c r="D44" s="78"/>
      <c r="E44" s="78"/>
      <c r="F44" s="78"/>
      <c r="G44" s="79">
        <f>G35</f>
        <v>-3438.3600000000388</v>
      </c>
      <c r="H44" s="79">
        <f t="shared" ref="H44:K44" si="6">H35</f>
        <v>8740.7199999999921</v>
      </c>
      <c r="I44" s="79">
        <f t="shared" si="6"/>
        <v>-115.59999999998763</v>
      </c>
      <c r="J44" s="79">
        <f t="shared" si="6"/>
        <v>6955.4399999999623</v>
      </c>
      <c r="K44" s="79">
        <f t="shared" si="6"/>
        <v>32268.210000000043</v>
      </c>
    </row>
    <row r="45" spans="1:11" x14ac:dyDescent="0.3">
      <c r="B45" s="78" t="s">
        <v>204</v>
      </c>
      <c r="C45" s="78"/>
      <c r="D45" s="78"/>
      <c r="E45" s="78"/>
      <c r="F45" s="38"/>
      <c r="G45" s="85">
        <v>0.25</v>
      </c>
      <c r="H45" s="85">
        <v>0.25</v>
      </c>
      <c r="I45" s="85">
        <v>0.25</v>
      </c>
      <c r="J45" s="85">
        <v>0.25</v>
      </c>
      <c r="K45" s="85">
        <v>0.25</v>
      </c>
    </row>
    <row r="46" spans="1:11" x14ac:dyDescent="0.3">
      <c r="B46" s="78" t="s">
        <v>205</v>
      </c>
      <c r="C46" s="78"/>
      <c r="D46" s="78"/>
      <c r="E46" s="78"/>
      <c r="F46" s="78"/>
      <c r="G46" s="78">
        <f>G44*(1-G45)</f>
        <v>-2578.7700000000291</v>
      </c>
      <c r="H46" s="78">
        <f t="shared" ref="H46:K46" si="7">H44*(1-H45)</f>
        <v>6555.5399999999936</v>
      </c>
      <c r="I46" s="78">
        <f t="shared" si="7"/>
        <v>-86.699999999990723</v>
      </c>
      <c r="J46" s="78">
        <f t="shared" si="7"/>
        <v>5216.5799999999717</v>
      </c>
      <c r="K46" s="78">
        <f t="shared" si="7"/>
        <v>24201.15750000003</v>
      </c>
    </row>
    <row r="47" spans="1:11" x14ac:dyDescent="0.3">
      <c r="B47" s="78"/>
      <c r="C47" s="78"/>
      <c r="D47" s="78"/>
      <c r="E47" s="78"/>
      <c r="F47" s="41"/>
    </row>
    <row r="48" spans="1:11" x14ac:dyDescent="0.3">
      <c r="B48" s="78" t="s">
        <v>206</v>
      </c>
      <c r="C48" s="78"/>
      <c r="D48" s="78"/>
      <c r="E48" s="78"/>
      <c r="F48" s="78"/>
      <c r="G48" s="79">
        <f>SUM(G41:G42)</f>
        <v>367</v>
      </c>
      <c r="H48" s="79">
        <f t="shared" ref="H48:K48" si="8">SUM(H41:H42)</f>
        <v>750</v>
      </c>
      <c r="I48" s="79">
        <f t="shared" si="8"/>
        <v>3306</v>
      </c>
      <c r="J48" s="79">
        <f t="shared" si="8"/>
        <v>2175</v>
      </c>
      <c r="K48" s="79">
        <f t="shared" si="8"/>
        <v>2389</v>
      </c>
    </row>
    <row r="49" spans="1:11" x14ac:dyDescent="0.3">
      <c r="B49" s="78"/>
      <c r="C49" s="78"/>
      <c r="D49" s="78"/>
      <c r="E49" s="78"/>
      <c r="F49" s="78"/>
    </row>
    <row r="50" spans="1:11" ht="15" thickBot="1" x14ac:dyDescent="0.35">
      <c r="B50" s="87" t="s">
        <v>207</v>
      </c>
      <c r="C50" s="87"/>
      <c r="D50" s="87"/>
      <c r="E50" s="87"/>
      <c r="F50" s="87"/>
      <c r="G50" s="87"/>
      <c r="H50" s="88">
        <f>H48/H46</f>
        <v>0.11440705113537569</v>
      </c>
      <c r="I50" s="88">
        <f>I48/I46</f>
        <v>-38.131487889277437</v>
      </c>
      <c r="J50" s="88">
        <f t="shared" ref="J50:K50" si="9">J48/J46</f>
        <v>0.41693983414421171</v>
      </c>
      <c r="K50" s="88">
        <f t="shared" si="9"/>
        <v>9.8714286703022236E-2</v>
      </c>
    </row>
    <row r="51" spans="1:11" ht="15" thickTop="1" x14ac:dyDescent="0.3"/>
    <row r="52" spans="1:11" x14ac:dyDescent="0.3">
      <c r="H52" t="s">
        <v>208</v>
      </c>
      <c r="I52" s="90" t="s">
        <v>209</v>
      </c>
      <c r="J52" s="90"/>
      <c r="K52" s="91">
        <f>AVERAGE(H50:K50)</f>
        <v>-9.3753566793237084</v>
      </c>
    </row>
    <row r="53" spans="1:11" x14ac:dyDescent="0.3">
      <c r="I53" s="90" t="s">
        <v>210</v>
      </c>
      <c r="J53" s="90"/>
      <c r="K53" s="91">
        <f>MEDIAN(H50:K50)</f>
        <v>0.10656066891919896</v>
      </c>
    </row>
    <row r="55" spans="1:11" x14ac:dyDescent="0.3">
      <c r="A55" s="25" t="s">
        <v>57</v>
      </c>
      <c r="B55" s="8" t="s">
        <v>211</v>
      </c>
      <c r="C55" s="75"/>
      <c r="D55" s="75"/>
      <c r="E55" s="75"/>
      <c r="F55" s="75"/>
      <c r="G55" s="9">
        <f>'Raw FS'!J$2</f>
        <v>43891</v>
      </c>
      <c r="H55" s="9">
        <f>'Raw FS'!K$2</f>
        <v>44256</v>
      </c>
      <c r="I55" s="9">
        <f>'Raw FS'!L$2</f>
        <v>44621</v>
      </c>
      <c r="J55" s="9">
        <f>'Raw FS'!M$2</f>
        <v>44986</v>
      </c>
      <c r="K55" s="9">
        <f>'Raw FS'!N$2</f>
        <v>45352</v>
      </c>
    </row>
    <row r="57" spans="1:11" x14ac:dyDescent="0.3">
      <c r="B57" s="86" t="s">
        <v>212</v>
      </c>
      <c r="C57" s="86"/>
      <c r="D57" s="86"/>
      <c r="E57" s="86"/>
      <c r="F57" s="86"/>
      <c r="G57" s="86"/>
      <c r="H57" s="159">
        <f>H50</f>
        <v>0.11440705113537569</v>
      </c>
      <c r="I57" s="159">
        <f>I50</f>
        <v>-38.131487889277437</v>
      </c>
      <c r="J57" s="159">
        <f>J50</f>
        <v>0.41693983414421171</v>
      </c>
      <c r="K57" s="159">
        <f>K50</f>
        <v>9.8714286703022236E-2</v>
      </c>
    </row>
    <row r="58" spans="1:11" x14ac:dyDescent="0.3">
      <c r="B58" s="86" t="s">
        <v>200</v>
      </c>
      <c r="C58" s="86"/>
      <c r="D58" s="86"/>
      <c r="E58" s="86"/>
      <c r="F58" s="86"/>
      <c r="G58" s="86"/>
      <c r="H58" s="159">
        <f>H37</f>
        <v>0.99416742493175525</v>
      </c>
      <c r="I58" s="159">
        <f>I37</f>
        <v>-1.0278296434603684E-2</v>
      </c>
      <c r="J58" s="159">
        <f>J37</f>
        <v>0.56342162818954733</v>
      </c>
      <c r="K58" s="159">
        <f>K37</f>
        <v>2.3686566835498821</v>
      </c>
    </row>
    <row r="60" spans="1:11" ht="15" thickBot="1" x14ac:dyDescent="0.35">
      <c r="B60" s="87" t="s">
        <v>213</v>
      </c>
      <c r="C60" s="87"/>
      <c r="D60" s="87"/>
      <c r="E60" s="87"/>
      <c r="F60" s="87"/>
      <c r="G60" s="87"/>
      <c r="H60" s="89">
        <f>H57*H58</f>
        <v>0.11373976342129209</v>
      </c>
      <c r="I60" s="89">
        <f t="shared" ref="I60:K60" si="10">I57*I58</f>
        <v>0.39192673601849382</v>
      </c>
      <c r="J60" s="89">
        <f t="shared" si="10"/>
        <v>0.23491292021061158</v>
      </c>
      <c r="K60" s="89">
        <f t="shared" si="10"/>
        <v>0.23382025496097289</v>
      </c>
    </row>
    <row r="61" spans="1:11" ht="15" thickTop="1" x14ac:dyDescent="0.3"/>
    <row r="62" spans="1:11" x14ac:dyDescent="0.3">
      <c r="I62" s="90" t="s">
        <v>209</v>
      </c>
      <c r="J62" s="90"/>
      <c r="K62" s="91">
        <f>AVERAGE(H60:K60)</f>
        <v>0.24359991865284261</v>
      </c>
    </row>
    <row r="63" spans="1:11" x14ac:dyDescent="0.3">
      <c r="I63" s="90" t="s">
        <v>210</v>
      </c>
      <c r="J63" s="90"/>
      <c r="K63" s="91">
        <f>MEDIAN(H60:K60)</f>
        <v>0.23436658758579224</v>
      </c>
    </row>
  </sheetData>
  <pageMargins left="0.7" right="0.7" top="0.75" bottom="0.75" header="0.3" footer="0.3"/>
  <ignoredErrors>
    <ignoredError sqref="G41:K4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BFD9-2F6F-4C35-A972-805FA1073E51}">
  <dimension ref="B2:J37"/>
  <sheetViews>
    <sheetView showGridLines="0" zoomScale="109" workbookViewId="0">
      <selection activeCell="G26" sqref="G26"/>
    </sheetView>
  </sheetViews>
  <sheetFormatPr defaultRowHeight="14.4" outlineLevelRow="1" x14ac:dyDescent="0.3"/>
  <cols>
    <col min="1" max="1" width="1.88671875" customWidth="1"/>
    <col min="2" max="2" width="22.109375" customWidth="1"/>
    <col min="3" max="3" width="13.5546875" bestFit="1" customWidth="1"/>
    <col min="4" max="4" width="10.77734375" customWidth="1"/>
    <col min="5" max="5" width="10.21875" customWidth="1"/>
    <col min="6" max="6" width="12.21875" bestFit="1" customWidth="1"/>
    <col min="7" max="8" width="11.6640625" bestFit="1" customWidth="1"/>
    <col min="9" max="9" width="11.6640625" customWidth="1"/>
    <col min="10" max="10" width="11.6640625" bestFit="1" customWidth="1"/>
  </cols>
  <sheetData>
    <row r="2" spans="2:9" x14ac:dyDescent="0.3">
      <c r="B2" s="112" t="s">
        <v>214</v>
      </c>
      <c r="C2" s="112"/>
      <c r="D2" s="114">
        <f>'Internsic Growth'!K3</f>
        <v>45352</v>
      </c>
      <c r="E2" s="115">
        <f>D2+365</f>
        <v>45717</v>
      </c>
      <c r="F2" s="115">
        <f t="shared" ref="F2:G2" si="0">E2+365</f>
        <v>46082</v>
      </c>
      <c r="G2" s="115">
        <f t="shared" si="0"/>
        <v>46447</v>
      </c>
      <c r="H2" s="115">
        <f>G2+366</f>
        <v>46813</v>
      </c>
      <c r="I2" s="115">
        <f>H2+366</f>
        <v>47179</v>
      </c>
    </row>
    <row r="4" spans="2:9" x14ac:dyDescent="0.3">
      <c r="B4" s="103" t="s">
        <v>199</v>
      </c>
      <c r="C4" s="103"/>
      <c r="D4" s="104">
        <f>'Data Sheet'!K35</f>
        <v>37533.21</v>
      </c>
      <c r="E4" s="105">
        <f>D4*(1+$C$14)</f>
        <v>45321.351074999999</v>
      </c>
      <c r="F4" s="105">
        <f t="shared" ref="F4:I4" si="1">E4*(1+$C$14)</f>
        <v>54725.531423062501</v>
      </c>
      <c r="G4" s="105">
        <f t="shared" si="1"/>
        <v>66081.079193347978</v>
      </c>
      <c r="H4" s="105">
        <f t="shared" si="1"/>
        <v>79792.903125967685</v>
      </c>
      <c r="I4" s="105">
        <f t="shared" si="1"/>
        <v>96349.930524605981</v>
      </c>
    </row>
    <row r="5" spans="2:9" x14ac:dyDescent="0.3">
      <c r="B5" s="103" t="s">
        <v>215</v>
      </c>
      <c r="C5" s="103"/>
      <c r="D5" s="106">
        <v>0.25</v>
      </c>
      <c r="E5" s="107">
        <f>D5</f>
        <v>0.25</v>
      </c>
      <c r="F5" s="107">
        <f>E5</f>
        <v>0.25</v>
      </c>
      <c r="G5" s="107">
        <f t="shared" ref="G5" si="2">F5</f>
        <v>0.25</v>
      </c>
      <c r="H5" s="107">
        <f>G5</f>
        <v>0.25</v>
      </c>
      <c r="I5" s="107">
        <f>G5</f>
        <v>0.25</v>
      </c>
    </row>
    <row r="6" spans="2:9" x14ac:dyDescent="0.3">
      <c r="B6" s="103" t="s">
        <v>216</v>
      </c>
      <c r="C6" s="103"/>
      <c r="D6" s="104">
        <f>D4*(1-D5)</f>
        <v>28149.907500000001</v>
      </c>
      <c r="E6" s="105">
        <f t="shared" ref="E6:I6" si="3">E4*(1-E5)</f>
        <v>33991.013306249995</v>
      </c>
      <c r="F6" s="105">
        <f t="shared" si="3"/>
        <v>41044.148567296877</v>
      </c>
      <c r="G6" s="105">
        <f t="shared" si="3"/>
        <v>49560.809395010983</v>
      </c>
      <c r="H6" s="105">
        <f t="shared" si="3"/>
        <v>59844.677344475764</v>
      </c>
      <c r="I6" s="105">
        <f t="shared" si="3"/>
        <v>72262.44789345449</v>
      </c>
    </row>
    <row r="7" spans="2:9" x14ac:dyDescent="0.3">
      <c r="B7" s="108" t="s">
        <v>217</v>
      </c>
      <c r="C7" s="103"/>
      <c r="D7" s="106">
        <f>'Internsic Growth'!K53</f>
        <v>0.10656066891919896</v>
      </c>
      <c r="E7" s="109">
        <f>D7+(($I$7-$D$7)/4)</f>
        <v>0.11157050168939922</v>
      </c>
      <c r="F7" s="109">
        <f t="shared" ref="F7:H7" si="4">E7+(($I$7-$D$7)/4)</f>
        <v>0.11658033445959948</v>
      </c>
      <c r="G7" s="109">
        <f t="shared" si="4"/>
        <v>0.12159016722979973</v>
      </c>
      <c r="H7" s="109">
        <f t="shared" si="4"/>
        <v>0.12659999999999999</v>
      </c>
      <c r="I7" s="107">
        <v>0.12659999999999999</v>
      </c>
    </row>
    <row r="8" spans="2:9" x14ac:dyDescent="0.3">
      <c r="B8" s="103" t="s">
        <v>218</v>
      </c>
      <c r="C8" s="103"/>
      <c r="D8" s="104">
        <f>D6*(1-D7)</f>
        <v>25150.234526786426</v>
      </c>
      <c r="E8" s="105">
        <f t="shared" ref="E8:I8" si="5">E6*(1-E7)</f>
        <v>30198.618898740639</v>
      </c>
      <c r="F8" s="105">
        <f t="shared" si="5"/>
        <v>36259.207999711914</v>
      </c>
      <c r="G8" s="105">
        <f t="shared" si="5"/>
        <v>43534.702292627364</v>
      </c>
      <c r="H8" s="105">
        <f t="shared" si="5"/>
        <v>52268.341192665132</v>
      </c>
      <c r="I8" s="105">
        <f t="shared" si="5"/>
        <v>63114.021990143148</v>
      </c>
    </row>
    <row r="9" spans="2:9" x14ac:dyDescent="0.3">
      <c r="B9" s="103" t="s">
        <v>219</v>
      </c>
      <c r="C9" s="103"/>
      <c r="D9" s="110"/>
      <c r="E9" s="103">
        <v>0.5</v>
      </c>
      <c r="F9" s="103">
        <f>E9+1</f>
        <v>1.5</v>
      </c>
      <c r="G9" s="103">
        <f>F9+1</f>
        <v>2.5</v>
      </c>
      <c r="H9" s="103">
        <f t="shared" ref="H9:I9" si="6">G9+1</f>
        <v>3.5</v>
      </c>
      <c r="I9" s="103">
        <f t="shared" si="6"/>
        <v>4.5</v>
      </c>
    </row>
    <row r="10" spans="2:9" x14ac:dyDescent="0.3">
      <c r="B10" s="103" t="s">
        <v>220</v>
      </c>
      <c r="C10" s="103"/>
      <c r="D10" s="110"/>
      <c r="E10" s="111">
        <f>1/(1+$C$16)^E9</f>
        <v>0.94011122929166602</v>
      </c>
      <c r="F10" s="111">
        <f t="shared" ref="F10:I10" si="7">1/(1+$C$16)^F9</f>
        <v>0.83087888149663836</v>
      </c>
      <c r="G10" s="111">
        <f t="shared" si="7"/>
        <v>0.73433833594059039</v>
      </c>
      <c r="H10" s="111">
        <f t="shared" si="7"/>
        <v>0.64901492099625258</v>
      </c>
      <c r="I10" s="111">
        <f t="shared" si="7"/>
        <v>0.57360530842536528</v>
      </c>
    </row>
    <row r="11" spans="2:9" ht="4.8" customHeight="1" x14ac:dyDescent="0.3">
      <c r="D11" s="101"/>
    </row>
    <row r="12" spans="2:9" ht="15" thickBot="1" x14ac:dyDescent="0.35">
      <c r="B12" s="96" t="s">
        <v>221</v>
      </c>
      <c r="C12" s="97"/>
      <c r="D12" s="102"/>
      <c r="E12" s="116">
        <f>E8*E10</f>
        <v>28390.0607358056</v>
      </c>
      <c r="F12" s="116">
        <f t="shared" ref="F12:I12" si="8">F8*F10</f>
        <v>30127.010186754596</v>
      </c>
      <c r="G12" s="116">
        <f t="shared" si="8"/>
        <v>31969.200837236986</v>
      </c>
      <c r="H12" s="116">
        <f t="shared" si="8"/>
        <v>33922.933329762731</v>
      </c>
      <c r="I12" s="116">
        <f t="shared" si="8"/>
        <v>36202.538049621347</v>
      </c>
    </row>
    <row r="14" spans="2:9" outlineLevel="1" x14ac:dyDescent="0.3">
      <c r="B14" s="99" t="s">
        <v>222</v>
      </c>
      <c r="C14" s="100">
        <v>0.20749999999999999</v>
      </c>
    </row>
    <row r="15" spans="2:9" outlineLevel="1" x14ac:dyDescent="0.3">
      <c r="B15" s="99" t="s">
        <v>223</v>
      </c>
      <c r="C15" s="65">
        <v>5.8900000000000001E-2</v>
      </c>
    </row>
    <row r="16" spans="2:9" outlineLevel="1" x14ac:dyDescent="0.3">
      <c r="B16" s="99" t="s">
        <v>224</v>
      </c>
      <c r="C16" s="98">
        <v>0.13146602979999999</v>
      </c>
    </row>
    <row r="18" spans="2:10" x14ac:dyDescent="0.3">
      <c r="B18" s="112" t="s">
        <v>225</v>
      </c>
      <c r="C18" s="113"/>
      <c r="F18" s="112" t="s">
        <v>236</v>
      </c>
      <c r="G18" s="113"/>
      <c r="H18" s="113"/>
      <c r="I18" s="113"/>
      <c r="J18" s="113"/>
    </row>
    <row r="19" spans="2:10" x14ac:dyDescent="0.3">
      <c r="F19" s="131">
        <f>C30</f>
        <v>493041.85912506643</v>
      </c>
      <c r="G19" s="132">
        <v>0.11</v>
      </c>
      <c r="H19" s="137">
        <v>0.13150000000000001</v>
      </c>
      <c r="I19" s="132">
        <v>0.15</v>
      </c>
      <c r="J19" s="133">
        <v>0.17</v>
      </c>
    </row>
    <row r="20" spans="2:10" x14ac:dyDescent="0.3">
      <c r="B20" t="s">
        <v>226</v>
      </c>
      <c r="C20" s="94">
        <f>I8*(1+C14)</f>
        <v>76210.181553097849</v>
      </c>
      <c r="F20" s="134">
        <v>0.03</v>
      </c>
      <c r="G20" s="122">
        <f t="dataTable" ref="G20:J23" dt2D="1" dtr="1" r1="C21" r2="C22"/>
        <v>558016.85952118353</v>
      </c>
      <c r="H20" s="61">
        <v>493041.87570225983</v>
      </c>
      <c r="I20" s="123">
        <v>452042.15723047382</v>
      </c>
      <c r="J20" s="124">
        <v>417756.22413642064</v>
      </c>
    </row>
    <row r="21" spans="2:10" x14ac:dyDescent="0.3">
      <c r="B21" t="s">
        <v>224</v>
      </c>
      <c r="C21" s="95">
        <v>0.13150000000000001</v>
      </c>
      <c r="F21" s="136">
        <v>5.8900000000000001E-2</v>
      </c>
      <c r="G21" s="61">
        <v>558016.84294399025</v>
      </c>
      <c r="H21" s="126">
        <v>493041.85912506643</v>
      </c>
      <c r="I21" s="61">
        <v>452042.14065328042</v>
      </c>
      <c r="J21" s="127">
        <v>417756.20755922724</v>
      </c>
    </row>
    <row r="22" spans="2:10" x14ac:dyDescent="0.3">
      <c r="B22" t="s">
        <v>227</v>
      </c>
      <c r="C22" s="95">
        <v>5.8900000000000001E-2</v>
      </c>
      <c r="F22" s="134">
        <v>7.0000000000000007E-2</v>
      </c>
      <c r="G22" s="125">
        <v>558016.83657697134</v>
      </c>
      <c r="H22" s="61">
        <v>493041.85275804752</v>
      </c>
      <c r="I22" s="61">
        <v>452042.13428626151</v>
      </c>
      <c r="J22" s="127">
        <v>417756.20119220833</v>
      </c>
    </row>
    <row r="23" spans="2:10" ht="14.4" customHeight="1" x14ac:dyDescent="0.3">
      <c r="C23" s="94"/>
      <c r="F23" s="135">
        <v>0.09</v>
      </c>
      <c r="G23" s="128">
        <v>558016.82510486513</v>
      </c>
      <c r="H23" s="129">
        <v>493041.84128594131</v>
      </c>
      <c r="I23" s="129">
        <v>452042.1228141553</v>
      </c>
      <c r="J23" s="130">
        <v>417756.18972010212</v>
      </c>
    </row>
    <row r="24" spans="2:10" ht="15" thickBot="1" x14ac:dyDescent="0.35">
      <c r="B24" s="96" t="s">
        <v>228</v>
      </c>
      <c r="C24" s="117">
        <f>C20/C21-C22</f>
        <v>579545.04796766432</v>
      </c>
    </row>
    <row r="26" spans="2:10" x14ac:dyDescent="0.3">
      <c r="B26" s="112" t="s">
        <v>229</v>
      </c>
      <c r="C26" s="113"/>
    </row>
    <row r="28" spans="2:10" x14ac:dyDescent="0.3">
      <c r="B28" t="s">
        <v>221</v>
      </c>
      <c r="C28" s="94">
        <f>SUM(E12:I12)</f>
        <v>160611.74313918126</v>
      </c>
    </row>
    <row r="29" spans="2:10" x14ac:dyDescent="0.3">
      <c r="B29" t="s">
        <v>230</v>
      </c>
      <c r="C29" s="94">
        <f>C24*I10</f>
        <v>332430.1159858852</v>
      </c>
    </row>
    <row r="30" spans="2:10" x14ac:dyDescent="0.3">
      <c r="B30" s="25" t="s">
        <v>231</v>
      </c>
      <c r="C30" s="117">
        <f>SUM(C28:C29)</f>
        <v>493041.85912506643</v>
      </c>
    </row>
    <row r="31" spans="2:10" x14ac:dyDescent="0.3">
      <c r="B31" s="25"/>
      <c r="C31" s="95"/>
    </row>
    <row r="32" spans="2:10" x14ac:dyDescent="0.3">
      <c r="B32" s="27" t="s">
        <v>232</v>
      </c>
      <c r="C32" s="94">
        <f>'Data Sheet'!K68</f>
        <v>45806.69</v>
      </c>
    </row>
    <row r="33" spans="2:3" x14ac:dyDescent="0.3">
      <c r="B33" s="27" t="s">
        <v>233</v>
      </c>
      <c r="C33" s="94">
        <f>SUM('Raw FS'!N7:N8)</f>
        <v>1107</v>
      </c>
    </row>
    <row r="34" spans="2:3" x14ac:dyDescent="0.3">
      <c r="B34" s="25" t="s">
        <v>234</v>
      </c>
      <c r="C34" s="117">
        <f>C30+C32-C33</f>
        <v>537741.54912506649</v>
      </c>
    </row>
    <row r="35" spans="2:3" x14ac:dyDescent="0.3">
      <c r="B35" t="s">
        <v>43</v>
      </c>
      <c r="C35" s="94">
        <f>'Data Sheet'!B6</f>
        <v>368.11891574230521</v>
      </c>
    </row>
    <row r="36" spans="2:3" ht="6" customHeight="1" x14ac:dyDescent="0.3">
      <c r="C36" s="94"/>
    </row>
    <row r="37" spans="2:3" ht="15" thickBot="1" x14ac:dyDescent="0.35">
      <c r="B37" s="96" t="s">
        <v>235</v>
      </c>
      <c r="C37" s="118">
        <f>C34/C35</f>
        <v>1460.7821715456275</v>
      </c>
    </row>
  </sheetData>
  <pageMargins left="0.7" right="0.7" top="0.75" bottom="0.75" header="0.3" footer="0.3"/>
  <ignoredErrors>
    <ignoredError sqref="C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5C707C-7BD6-445B-B2CD-6924FD0B47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Data Sheet</vt:lpstr>
      <vt:lpstr>Cash Flow Data</vt:lpstr>
      <vt:lpstr>Historical FS</vt:lpstr>
      <vt:lpstr>Common Size Analysis</vt:lpstr>
      <vt:lpstr>Ratio Analysis</vt:lpstr>
      <vt:lpstr>Raw FS</vt:lpstr>
      <vt:lpstr>Forecasting</vt:lpstr>
      <vt:lpstr>Internsic Growth</vt:lpstr>
      <vt:lpstr>DCF</vt:lpstr>
      <vt:lpstr>Balance_Sheet</vt:lpstr>
      <vt:lpstr>Cash_Flow_Statements</vt:lpstr>
      <vt:lpstr>Cashflow_statement</vt:lpstr>
      <vt:lpstr>Income_Statement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Shreyanshi Verma</dc:creator>
  <cp:lastModifiedBy>Shreyanshi Verma</cp:lastModifiedBy>
  <cp:lastPrinted>2025-03-08T07:03:26Z</cp:lastPrinted>
  <dcterms:created xsi:type="dcterms:W3CDTF">2025-02-16T10:19:52Z</dcterms:created>
  <dcterms:modified xsi:type="dcterms:W3CDTF">2025-05-03T08:30:36Z</dcterms:modified>
</cp:coreProperties>
</file>